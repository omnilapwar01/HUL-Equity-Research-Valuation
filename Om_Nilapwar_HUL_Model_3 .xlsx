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bb75010db17786/Desktop/HUL Model/"/>
    </mc:Choice>
  </mc:AlternateContent>
  <xr:revisionPtr revIDLastSave="10" documentId="8_{858E76D1-8EEE-4359-941D-E0D55BD082B4}" xr6:coauthVersionLast="47" xr6:coauthVersionMax="47" xr10:uidLastSave="{30488942-5068-4F65-812F-785798B456EA}"/>
  <bookViews>
    <workbookView xWindow="-108" yWindow="-108" windowWidth="23256" windowHeight="12456" firstSheet="2" activeTab="2" xr2:uid="{92A47471-3053-4A8E-A1BD-01BE51960609}"/>
  </bookViews>
  <sheets>
    <sheet name="Index" sheetId="14" r:id="rId1"/>
    <sheet name="Assumption" sheetId="13" r:id="rId2"/>
    <sheet name="Model" sheetId="1" r:id="rId3"/>
    <sheet name="Ratio" sheetId="11" r:id="rId4"/>
    <sheet name="WACC" sheetId="8" r:id="rId5"/>
    <sheet name="Beta" sheetId="10" r:id="rId6"/>
    <sheet name="Comparables Analysis" sheetId="6" r:id="rId7"/>
    <sheet name="Index Data" sheetId="9" r:id="rId8"/>
    <sheet name="Scenario" sheetId="5" r:id="rId9"/>
    <sheet name="BS" sheetId="2" r:id="rId10"/>
    <sheet name="P&amp;L" sheetId="3" r:id="rId11"/>
    <sheet name="Company Data" sheetId="7" r:id="rId12"/>
    <sheet name="CF" sheetId="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5" l="1"/>
  <c r="I9" i="5"/>
  <c r="F10" i="5"/>
  <c r="G9" i="5"/>
  <c r="F9" i="5"/>
  <c r="E9" i="5"/>
  <c r="F8" i="5"/>
  <c r="G8" i="5"/>
  <c r="E10" i="5"/>
  <c r="E8" i="5"/>
  <c r="G22" i="6"/>
  <c r="G21" i="6"/>
  <c r="F21" i="6"/>
  <c r="E50" i="1"/>
  <c r="D36" i="3"/>
  <c r="F23" i="6"/>
  <c r="G23" i="6"/>
  <c r="G17" i="6"/>
  <c r="F9" i="6"/>
  <c r="H8" i="7"/>
  <c r="F8" i="7"/>
  <c r="G33" i="11"/>
  <c r="H33" i="11"/>
  <c r="I33" i="11"/>
  <c r="F33" i="11"/>
  <c r="K68" i="1"/>
  <c r="L68" i="1"/>
  <c r="M68" i="1"/>
  <c r="N68" i="1"/>
  <c r="O68" i="1"/>
  <c r="P68" i="1"/>
  <c r="Q68" i="1"/>
  <c r="R68" i="1"/>
  <c r="S68" i="1"/>
  <c r="K69" i="1"/>
  <c r="L69" i="1"/>
  <c r="M69" i="1"/>
  <c r="N69" i="1"/>
  <c r="O69" i="1"/>
  <c r="P69" i="1"/>
  <c r="Q69" i="1"/>
  <c r="R69" i="1"/>
  <c r="S69" i="1"/>
  <c r="J69" i="1"/>
  <c r="J68" i="1"/>
  <c r="J70" i="1"/>
  <c r="F68" i="1"/>
  <c r="G68" i="1"/>
  <c r="H68" i="1"/>
  <c r="I68" i="1"/>
  <c r="F69" i="1"/>
  <c r="G69" i="1"/>
  <c r="H69" i="1"/>
  <c r="I69" i="1"/>
  <c r="E69" i="1"/>
  <c r="E68" i="1"/>
  <c r="I67" i="1"/>
  <c r="H67" i="1"/>
  <c r="G67" i="1"/>
  <c r="F67" i="1"/>
  <c r="E67" i="1"/>
  <c r="I9" i="6"/>
  <c r="F22" i="6" l="1"/>
  <c r="F10" i="6"/>
  <c r="F11" i="6"/>
  <c r="F12" i="6"/>
  <c r="E10" i="6"/>
  <c r="E11" i="6"/>
  <c r="E12" i="6"/>
  <c r="E9" i="6"/>
  <c r="F9" i="7"/>
  <c r="F10" i="7"/>
  <c r="F11" i="7"/>
  <c r="E72" i="2" l="1"/>
  <c r="F72" i="2"/>
  <c r="G72" i="2"/>
  <c r="H72" i="2"/>
  <c r="D72" i="2"/>
  <c r="D21" i="3"/>
  <c r="D27" i="3"/>
  <c r="B4" i="14" l="1"/>
  <c r="B3" i="14"/>
  <c r="B2" i="14"/>
  <c r="D29" i="13"/>
  <c r="D28" i="13"/>
  <c r="B4" i="13"/>
  <c r="B3" i="13"/>
  <c r="B2" i="13"/>
  <c r="E4" i="11"/>
  <c r="B4" i="11"/>
  <c r="B3" i="11"/>
  <c r="B2" i="11"/>
  <c r="E161" i="1"/>
  <c r="F161" i="1" s="1"/>
  <c r="G161" i="1" s="1"/>
  <c r="H161" i="1" s="1"/>
  <c r="I161" i="1" s="1"/>
  <c r="J161" i="1" s="1"/>
  <c r="K161" i="1" s="1"/>
  <c r="L161" i="1" s="1"/>
  <c r="M161" i="1" s="1"/>
  <c r="N161" i="1" s="1"/>
  <c r="I9" i="10" l="1"/>
  <c r="I7" i="10"/>
  <c r="I6" i="10"/>
  <c r="F59" i="10"/>
  <c r="D59" i="10"/>
  <c r="F58" i="10"/>
  <c r="D58" i="10"/>
  <c r="F57" i="10"/>
  <c r="D57" i="10"/>
  <c r="F56" i="10"/>
  <c r="D56" i="10"/>
  <c r="F55" i="10"/>
  <c r="D55" i="10"/>
  <c r="F54" i="10"/>
  <c r="D54" i="10"/>
  <c r="F53" i="10"/>
  <c r="D53" i="10"/>
  <c r="F52" i="10"/>
  <c r="D52" i="10"/>
  <c r="F51" i="10"/>
  <c r="D51" i="10"/>
  <c r="F50" i="10"/>
  <c r="D50" i="10"/>
  <c r="F49" i="10"/>
  <c r="D49" i="10"/>
  <c r="F48" i="10"/>
  <c r="D48" i="10"/>
  <c r="F47" i="10"/>
  <c r="D47" i="10"/>
  <c r="F46" i="10"/>
  <c r="D46" i="10"/>
  <c r="F45" i="10"/>
  <c r="D45" i="10"/>
  <c r="F44" i="10"/>
  <c r="D44" i="10"/>
  <c r="F43" i="10"/>
  <c r="D43" i="10"/>
  <c r="F42" i="10"/>
  <c r="D42" i="10"/>
  <c r="F41" i="10"/>
  <c r="D41" i="10"/>
  <c r="F40" i="10"/>
  <c r="D40" i="10"/>
  <c r="F39" i="10"/>
  <c r="D39" i="10"/>
  <c r="F38" i="10"/>
  <c r="D38" i="10"/>
  <c r="F37" i="10"/>
  <c r="D37" i="10"/>
  <c r="F36" i="10"/>
  <c r="D36" i="10"/>
  <c r="F35" i="10"/>
  <c r="D35" i="10"/>
  <c r="F34" i="10"/>
  <c r="D34" i="10"/>
  <c r="F33" i="10"/>
  <c r="D33" i="10"/>
  <c r="F32" i="10"/>
  <c r="D32" i="10"/>
  <c r="F31" i="10"/>
  <c r="D31" i="10"/>
  <c r="F30" i="10"/>
  <c r="D30" i="10"/>
  <c r="F29" i="10"/>
  <c r="D29" i="10"/>
  <c r="F28" i="10"/>
  <c r="D28" i="10"/>
  <c r="F27" i="10"/>
  <c r="D27" i="10"/>
  <c r="F26" i="10"/>
  <c r="D26" i="10"/>
  <c r="F25" i="10"/>
  <c r="D25" i="10"/>
  <c r="F24" i="10"/>
  <c r="D24" i="10"/>
  <c r="F23" i="10"/>
  <c r="D23" i="10"/>
  <c r="F22" i="10"/>
  <c r="D22" i="10"/>
  <c r="F21" i="10"/>
  <c r="D21" i="10"/>
  <c r="F20" i="10"/>
  <c r="D20" i="10"/>
  <c r="F19" i="10"/>
  <c r="D19" i="10"/>
  <c r="F18" i="10"/>
  <c r="D18" i="10"/>
  <c r="F17" i="10"/>
  <c r="D17" i="10"/>
  <c r="F16" i="10"/>
  <c r="D16" i="10"/>
  <c r="F15" i="10"/>
  <c r="D15" i="10"/>
  <c r="F14" i="10"/>
  <c r="D14" i="10"/>
  <c r="F13" i="10"/>
  <c r="D13" i="10"/>
  <c r="F12" i="10"/>
  <c r="D12" i="10"/>
  <c r="F11" i="10"/>
  <c r="D11" i="10"/>
  <c r="F10" i="10"/>
  <c r="D10" i="10"/>
  <c r="B4" i="10"/>
  <c r="B3" i="10"/>
  <c r="B2" i="10"/>
  <c r="D42" i="8"/>
  <c r="D43" i="8" s="1"/>
  <c r="F10" i="9"/>
  <c r="F8" i="9"/>
  <c r="B4" i="9"/>
  <c r="B3" i="9"/>
  <c r="B2" i="9"/>
  <c r="I18" i="8"/>
  <c r="B18" i="8"/>
  <c r="I16" i="8"/>
  <c r="I15" i="8"/>
  <c r="H11" i="8" l="1"/>
  <c r="H12" i="8"/>
  <c r="D13" i="8"/>
  <c r="E13" i="8"/>
  <c r="F13" i="8" s="1"/>
  <c r="J13" i="8" s="1"/>
  <c r="H13" i="8"/>
  <c r="H10" i="8"/>
  <c r="B11" i="8"/>
  <c r="B12" i="8"/>
  <c r="B13" i="8"/>
  <c r="B10" i="8"/>
  <c r="B4" i="8"/>
  <c r="B3" i="8"/>
  <c r="B2" i="8"/>
  <c r="L17" i="6"/>
  <c r="M17" i="6"/>
  <c r="Q17" i="6"/>
  <c r="B17" i="6"/>
  <c r="Q15" i="6"/>
  <c r="G10" i="6"/>
  <c r="E11" i="8" s="1"/>
  <c r="H10" i="6"/>
  <c r="K10" i="6"/>
  <c r="L10" i="6"/>
  <c r="M10" i="6"/>
  <c r="Q10" i="6"/>
  <c r="G11" i="6"/>
  <c r="E12" i="8" s="1"/>
  <c r="H11" i="6"/>
  <c r="K11" i="6"/>
  <c r="L11" i="6"/>
  <c r="M11" i="6"/>
  <c r="Q11" i="6"/>
  <c r="G12" i="6"/>
  <c r="H12" i="6"/>
  <c r="K12" i="6"/>
  <c r="L12" i="6"/>
  <c r="M12" i="6"/>
  <c r="Q12" i="6"/>
  <c r="Q9" i="6"/>
  <c r="Q14" i="6" s="1"/>
  <c r="D23" i="6" s="1"/>
  <c r="M9" i="6"/>
  <c r="L9" i="6"/>
  <c r="K9" i="6"/>
  <c r="K17" i="6" s="1"/>
  <c r="H9" i="6"/>
  <c r="H17" i="6" s="1"/>
  <c r="G9" i="6"/>
  <c r="P9" i="6" s="1"/>
  <c r="P17" i="6" s="1"/>
  <c r="D10" i="6"/>
  <c r="D11" i="6"/>
  <c r="D12" i="6"/>
  <c r="D9" i="6"/>
  <c r="C158" i="1" s="1"/>
  <c r="B4" i="7"/>
  <c r="B3" i="7"/>
  <c r="B2" i="7"/>
  <c r="H9" i="7"/>
  <c r="K9" i="7" s="1"/>
  <c r="H10" i="7"/>
  <c r="K10" i="7" s="1"/>
  <c r="H11" i="7"/>
  <c r="K11" i="7" s="1"/>
  <c r="K8" i="7"/>
  <c r="B4" i="6"/>
  <c r="B3" i="6"/>
  <c r="B2" i="6"/>
  <c r="I11" i="6" l="1"/>
  <c r="D12" i="8"/>
  <c r="F12" i="8" s="1"/>
  <c r="J12" i="8" s="1"/>
  <c r="H15" i="8"/>
  <c r="H18" i="8"/>
  <c r="H16" i="8"/>
  <c r="I12" i="6"/>
  <c r="I17" i="6"/>
  <c r="O9" i="6"/>
  <c r="O17" i="6" s="1"/>
  <c r="E10" i="8"/>
  <c r="E18" i="8" s="1"/>
  <c r="D30" i="8" s="1"/>
  <c r="I10" i="6"/>
  <c r="O10" i="6" s="1"/>
  <c r="D17" i="6"/>
  <c r="D11" i="8"/>
  <c r="G11" i="8" s="1"/>
  <c r="G13" i="8"/>
  <c r="P10" i="6" l="1"/>
  <c r="G12" i="8"/>
  <c r="F11" i="8"/>
  <c r="J11" i="8" s="1"/>
  <c r="O12" i="6"/>
  <c r="P12" i="6"/>
  <c r="O11" i="6"/>
  <c r="P11" i="6"/>
  <c r="P14" i="6" s="1"/>
  <c r="O15" i="6" l="1"/>
  <c r="O14" i="6"/>
  <c r="D21" i="6" s="1"/>
  <c r="E21" i="6" s="1"/>
  <c r="P15" i="6"/>
  <c r="C154" i="1" l="1"/>
  <c r="D22" i="6"/>
  <c r="E22" i="6" s="1"/>
  <c r="K126" i="1" l="1"/>
  <c r="L126" i="1" s="1"/>
  <c r="M126" i="1" s="1"/>
  <c r="N126" i="1" s="1"/>
  <c r="O126" i="1" s="1"/>
  <c r="P126" i="1" s="1"/>
  <c r="Q126" i="1" s="1"/>
  <c r="R126" i="1" s="1"/>
  <c r="S126" i="1" s="1"/>
  <c r="K118" i="1"/>
  <c r="L118" i="1" s="1"/>
  <c r="M118" i="1" s="1"/>
  <c r="N118" i="1" s="1"/>
  <c r="O118" i="1" s="1"/>
  <c r="P118" i="1" s="1"/>
  <c r="Q118" i="1" s="1"/>
  <c r="R118" i="1" s="1"/>
  <c r="S118" i="1" s="1"/>
  <c r="S117" i="1"/>
  <c r="R117" i="1"/>
  <c r="Q117" i="1"/>
  <c r="P117" i="1"/>
  <c r="O117" i="1"/>
  <c r="N117" i="1"/>
  <c r="M117" i="1"/>
  <c r="L117" i="1"/>
  <c r="K117" i="1"/>
  <c r="J117" i="1"/>
  <c r="K112" i="1"/>
  <c r="L112" i="1" s="1"/>
  <c r="M112" i="1" s="1"/>
  <c r="N112" i="1" s="1"/>
  <c r="O112" i="1" s="1"/>
  <c r="P112" i="1" s="1"/>
  <c r="Q112" i="1" s="1"/>
  <c r="R112" i="1" s="1"/>
  <c r="S112" i="1" s="1"/>
  <c r="K109" i="1"/>
  <c r="L109" i="1" s="1"/>
  <c r="M109" i="1" s="1"/>
  <c r="N109" i="1" s="1"/>
  <c r="O109" i="1" s="1"/>
  <c r="P109" i="1" s="1"/>
  <c r="Q109" i="1" s="1"/>
  <c r="R109" i="1" s="1"/>
  <c r="S109" i="1" s="1"/>
  <c r="B4" i="5"/>
  <c r="B3" i="5"/>
  <c r="B2" i="5"/>
  <c r="G132" i="1"/>
  <c r="H132" i="1"/>
  <c r="I132" i="1"/>
  <c r="G133" i="1"/>
  <c r="H133" i="1"/>
  <c r="I133" i="1"/>
  <c r="G134" i="1"/>
  <c r="H134" i="1"/>
  <c r="I134" i="1"/>
  <c r="G135" i="1"/>
  <c r="H135" i="1"/>
  <c r="I135" i="1"/>
  <c r="F102" i="1"/>
  <c r="G102" i="1"/>
  <c r="H102" i="1"/>
  <c r="I102" i="1"/>
  <c r="E102" i="1"/>
  <c r="F132" i="1"/>
  <c r="F133" i="1"/>
  <c r="F134" i="1"/>
  <c r="F135" i="1"/>
  <c r="D45" i="4"/>
  <c r="E135" i="1"/>
  <c r="E132" i="1"/>
  <c r="E134" i="1"/>
  <c r="E133" i="1"/>
  <c r="F125" i="1"/>
  <c r="G125" i="1"/>
  <c r="H125" i="1"/>
  <c r="I125" i="1"/>
  <c r="F126" i="1"/>
  <c r="G126" i="1"/>
  <c r="H126" i="1"/>
  <c r="I126" i="1"/>
  <c r="E126" i="1"/>
  <c r="E125" i="1"/>
  <c r="F100" i="1"/>
  <c r="G100" i="1"/>
  <c r="H100" i="1"/>
  <c r="I100" i="1"/>
  <c r="F101" i="1"/>
  <c r="F141" i="1" s="1"/>
  <c r="G101" i="1"/>
  <c r="G141" i="1" s="1"/>
  <c r="H101" i="1"/>
  <c r="H141" i="1" s="1"/>
  <c r="I101" i="1"/>
  <c r="I141" i="1" s="1"/>
  <c r="F108" i="1"/>
  <c r="G108" i="1"/>
  <c r="H108" i="1"/>
  <c r="I108" i="1"/>
  <c r="F109" i="1"/>
  <c r="G109" i="1"/>
  <c r="H109" i="1"/>
  <c r="I109" i="1"/>
  <c r="F110" i="1"/>
  <c r="G110" i="1"/>
  <c r="H110" i="1"/>
  <c r="I110" i="1"/>
  <c r="F111" i="1"/>
  <c r="G111" i="1"/>
  <c r="H111" i="1"/>
  <c r="I111" i="1"/>
  <c r="F112" i="1"/>
  <c r="G112" i="1"/>
  <c r="H112" i="1"/>
  <c r="I112" i="1"/>
  <c r="F117" i="1"/>
  <c r="G117" i="1"/>
  <c r="H117" i="1"/>
  <c r="I117" i="1"/>
  <c r="F118" i="1"/>
  <c r="G118" i="1"/>
  <c r="H118" i="1"/>
  <c r="I118" i="1"/>
  <c r="F119" i="1"/>
  <c r="G119" i="1"/>
  <c r="H119" i="1"/>
  <c r="I119" i="1"/>
  <c r="F120" i="1"/>
  <c r="G120" i="1"/>
  <c r="H120" i="1"/>
  <c r="I120" i="1"/>
  <c r="E117" i="1"/>
  <c r="E118" i="1"/>
  <c r="E120" i="1"/>
  <c r="E119" i="1"/>
  <c r="E110" i="1"/>
  <c r="E112" i="1"/>
  <c r="E111" i="1"/>
  <c r="E109" i="1"/>
  <c r="E108" i="1"/>
  <c r="E29" i="4"/>
  <c r="F29" i="4"/>
  <c r="G29" i="4"/>
  <c r="H29" i="4"/>
  <c r="D29" i="4"/>
  <c r="E101" i="1"/>
  <c r="E141" i="1" s="1"/>
  <c r="E100" i="1"/>
  <c r="F60" i="1"/>
  <c r="G60" i="1"/>
  <c r="H60" i="1"/>
  <c r="I60" i="1"/>
  <c r="F61" i="1"/>
  <c r="G61" i="1"/>
  <c r="H61" i="1"/>
  <c r="I61" i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F62" i="1"/>
  <c r="G62" i="1"/>
  <c r="H62" i="1"/>
  <c r="I62" i="1"/>
  <c r="F63" i="1"/>
  <c r="G63" i="1"/>
  <c r="H63" i="1"/>
  <c r="I63" i="1"/>
  <c r="F64" i="1"/>
  <c r="G64" i="1"/>
  <c r="H64" i="1"/>
  <c r="I64" i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F142" i="1"/>
  <c r="G142" i="1"/>
  <c r="H142" i="1"/>
  <c r="I142" i="1"/>
  <c r="J139" i="1" s="1"/>
  <c r="F70" i="1"/>
  <c r="G70" i="1"/>
  <c r="H70" i="1"/>
  <c r="I70" i="1"/>
  <c r="K70" i="1" s="1"/>
  <c r="L70" i="1" s="1"/>
  <c r="M70" i="1" s="1"/>
  <c r="N70" i="1" s="1"/>
  <c r="O70" i="1" s="1"/>
  <c r="P70" i="1" s="1"/>
  <c r="Q70" i="1" s="1"/>
  <c r="R70" i="1" s="1"/>
  <c r="S70" i="1" s="1"/>
  <c r="F71" i="1"/>
  <c r="G71" i="1"/>
  <c r="H71" i="1"/>
  <c r="I71" i="1"/>
  <c r="F72" i="1"/>
  <c r="G72" i="1"/>
  <c r="H72" i="1"/>
  <c r="I72" i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F78" i="1"/>
  <c r="G78" i="1"/>
  <c r="H78" i="1"/>
  <c r="I78" i="1"/>
  <c r="F79" i="1"/>
  <c r="G79" i="1"/>
  <c r="H79" i="1"/>
  <c r="I79" i="1"/>
  <c r="J79" i="1" s="1"/>
  <c r="K79" i="1" s="1"/>
  <c r="F82" i="1"/>
  <c r="G82" i="1"/>
  <c r="H82" i="1"/>
  <c r="I82" i="1"/>
  <c r="F83" i="1"/>
  <c r="G83" i="1"/>
  <c r="H83" i="1"/>
  <c r="I83" i="1"/>
  <c r="J83" i="1" s="1"/>
  <c r="K83" i="1" s="1"/>
  <c r="L83" i="1" s="1"/>
  <c r="M83" i="1" s="1"/>
  <c r="N83" i="1" s="1"/>
  <c r="O83" i="1" s="1"/>
  <c r="P83" i="1" s="1"/>
  <c r="Q83" i="1" s="1"/>
  <c r="R83" i="1" s="1"/>
  <c r="S83" i="1" s="1"/>
  <c r="F88" i="1"/>
  <c r="G88" i="1"/>
  <c r="H88" i="1"/>
  <c r="I88" i="1"/>
  <c r="J88" i="1" s="1"/>
  <c r="K88" i="1" s="1"/>
  <c r="L88" i="1" s="1"/>
  <c r="F89" i="1"/>
  <c r="G89" i="1"/>
  <c r="H89" i="1"/>
  <c r="I89" i="1"/>
  <c r="F91" i="1"/>
  <c r="G91" i="1"/>
  <c r="H91" i="1"/>
  <c r="I91" i="1"/>
  <c r="E91" i="1"/>
  <c r="E89" i="1"/>
  <c r="E88" i="1"/>
  <c r="E83" i="1"/>
  <c r="E82" i="1"/>
  <c r="E79" i="1"/>
  <c r="E78" i="1"/>
  <c r="E71" i="1"/>
  <c r="E64" i="1"/>
  <c r="E72" i="1"/>
  <c r="E70" i="1"/>
  <c r="E142" i="1"/>
  <c r="F139" i="1" s="1"/>
  <c r="E63" i="1"/>
  <c r="E62" i="1"/>
  <c r="E61" i="1"/>
  <c r="E60" i="1"/>
  <c r="E35" i="1"/>
  <c r="F46" i="1"/>
  <c r="G46" i="1"/>
  <c r="H46" i="1"/>
  <c r="I46" i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E46" i="1"/>
  <c r="H24" i="3"/>
  <c r="F29" i="1"/>
  <c r="G29" i="1"/>
  <c r="H29" i="1"/>
  <c r="I29" i="1"/>
  <c r="F30" i="1"/>
  <c r="G30" i="1"/>
  <c r="H30" i="1"/>
  <c r="I30" i="1"/>
  <c r="F35" i="1"/>
  <c r="G35" i="1"/>
  <c r="H35" i="1"/>
  <c r="I35" i="1"/>
  <c r="F36" i="1"/>
  <c r="G36" i="1"/>
  <c r="H36" i="1"/>
  <c r="I36" i="1"/>
  <c r="F39" i="1"/>
  <c r="G39" i="1"/>
  <c r="H39" i="1"/>
  <c r="I39" i="1"/>
  <c r="F42" i="1"/>
  <c r="F148" i="1" s="1"/>
  <c r="G42" i="1"/>
  <c r="G148" i="1" s="1"/>
  <c r="H42" i="1"/>
  <c r="H148" i="1" s="1"/>
  <c r="I42" i="1"/>
  <c r="I148" i="1" s="1"/>
  <c r="F43" i="1"/>
  <c r="G43" i="1"/>
  <c r="H43" i="1"/>
  <c r="I43" i="1"/>
  <c r="F47" i="1"/>
  <c r="G47" i="1"/>
  <c r="H47" i="1"/>
  <c r="I47" i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F50" i="1"/>
  <c r="G50" i="1"/>
  <c r="H50" i="1"/>
  <c r="I50" i="1"/>
  <c r="E47" i="1"/>
  <c r="G27" i="3"/>
  <c r="E27" i="3"/>
  <c r="E43" i="1"/>
  <c r="E42" i="1"/>
  <c r="E148" i="1" s="1"/>
  <c r="E39" i="1"/>
  <c r="E36" i="1"/>
  <c r="E30" i="1"/>
  <c r="D19" i="3"/>
  <c r="E29" i="1"/>
  <c r="F4" i="1"/>
  <c r="H93" i="4"/>
  <c r="G93" i="4"/>
  <c r="F93" i="4"/>
  <c r="E93" i="4"/>
  <c r="D93" i="4"/>
  <c r="H81" i="4"/>
  <c r="G81" i="4"/>
  <c r="F81" i="4"/>
  <c r="E81" i="4"/>
  <c r="D81" i="4"/>
  <c r="H69" i="4"/>
  <c r="G69" i="4"/>
  <c r="F69" i="4"/>
  <c r="E69" i="4"/>
  <c r="D69" i="4"/>
  <c r="E39" i="4"/>
  <c r="E45" i="4" s="1"/>
  <c r="H31" i="4"/>
  <c r="H39" i="4" s="1"/>
  <c r="H45" i="4" s="1"/>
  <c r="G31" i="4"/>
  <c r="G39" i="4" s="1"/>
  <c r="G45" i="4" s="1"/>
  <c r="G83" i="4" s="1"/>
  <c r="G87" i="4" s="1"/>
  <c r="F31" i="4"/>
  <c r="F39" i="4" s="1"/>
  <c r="F45" i="4" s="1"/>
  <c r="F83" i="4" s="1"/>
  <c r="F87" i="4" s="1"/>
  <c r="E31" i="4"/>
  <c r="D31" i="4"/>
  <c r="D39" i="4" s="1"/>
  <c r="H36" i="3"/>
  <c r="G36" i="3"/>
  <c r="F36" i="3"/>
  <c r="E36" i="3"/>
  <c r="H19" i="3"/>
  <c r="G19" i="3"/>
  <c r="F19" i="3"/>
  <c r="E19" i="3"/>
  <c r="H9" i="3"/>
  <c r="G9" i="3"/>
  <c r="F9" i="3"/>
  <c r="E9" i="3"/>
  <c r="D9" i="3"/>
  <c r="D3" i="3"/>
  <c r="D3" i="4" s="1"/>
  <c r="B3" i="3"/>
  <c r="B3" i="4" s="1"/>
  <c r="H67" i="2"/>
  <c r="G67" i="2"/>
  <c r="F67" i="2"/>
  <c r="E67" i="2"/>
  <c r="D67" i="2"/>
  <c r="H54" i="2"/>
  <c r="G54" i="2"/>
  <c r="F54" i="2"/>
  <c r="E54" i="2"/>
  <c r="D54" i="2"/>
  <c r="H44" i="2"/>
  <c r="H69" i="2" s="1"/>
  <c r="G44" i="2"/>
  <c r="G69" i="2" s="1"/>
  <c r="F44" i="2"/>
  <c r="F69" i="2" s="1"/>
  <c r="E44" i="2"/>
  <c r="E69" i="2" s="1"/>
  <c r="D44" i="2"/>
  <c r="D69" i="2" s="1"/>
  <c r="H37" i="2"/>
  <c r="G37" i="2"/>
  <c r="F37" i="2"/>
  <c r="H35" i="2"/>
  <c r="G35" i="2"/>
  <c r="F35" i="2"/>
  <c r="E35" i="2"/>
  <c r="D35" i="2"/>
  <c r="H21" i="2"/>
  <c r="G21" i="2"/>
  <c r="F21" i="2"/>
  <c r="E21" i="2"/>
  <c r="E37" i="2" s="1"/>
  <c r="D21" i="2"/>
  <c r="D37" i="2" s="1"/>
  <c r="E11" i="2"/>
  <c r="D11" i="2"/>
  <c r="E4" i="2"/>
  <c r="E3" i="3" s="1"/>
  <c r="E3" i="4" s="1"/>
  <c r="F15" i="1" l="1"/>
  <c r="G15" i="1"/>
  <c r="H15" i="1"/>
  <c r="F18" i="1"/>
  <c r="G18" i="1"/>
  <c r="H18" i="1"/>
  <c r="I18" i="1"/>
  <c r="F23" i="1"/>
  <c r="F32" i="11" s="1"/>
  <c r="G23" i="1"/>
  <c r="G32" i="11" s="1"/>
  <c r="H12" i="1"/>
  <c r="E14" i="1"/>
  <c r="G13" i="1"/>
  <c r="G31" i="11"/>
  <c r="G29" i="11"/>
  <c r="G147" i="1"/>
  <c r="H145" i="1" s="1"/>
  <c r="G18" i="11"/>
  <c r="G19" i="11"/>
  <c r="F147" i="1"/>
  <c r="F24" i="11"/>
  <c r="E147" i="1"/>
  <c r="F145" i="1" s="1"/>
  <c r="F17" i="1" s="1"/>
  <c r="C183" i="1"/>
  <c r="H184" i="1" s="1"/>
  <c r="I19" i="11"/>
  <c r="I18" i="11"/>
  <c r="H13" i="1"/>
  <c r="H29" i="11"/>
  <c r="H31" i="11"/>
  <c r="H24" i="1"/>
  <c r="H27" i="11"/>
  <c r="G27" i="11"/>
  <c r="E22" i="1"/>
  <c r="I29" i="11"/>
  <c r="I31" i="11"/>
  <c r="I147" i="1"/>
  <c r="H147" i="1"/>
  <c r="I145" i="1" s="1"/>
  <c r="C184" i="1" s="1"/>
  <c r="H183" i="1" s="1"/>
  <c r="F31" i="11"/>
  <c r="F29" i="11"/>
  <c r="G4" i="1"/>
  <c r="F4" i="11"/>
  <c r="F27" i="11"/>
  <c r="H19" i="11"/>
  <c r="H18" i="11"/>
  <c r="F18" i="11"/>
  <c r="F19" i="11"/>
  <c r="I27" i="11"/>
  <c r="E23" i="1"/>
  <c r="E19" i="11"/>
  <c r="E18" i="11"/>
  <c r="I15" i="1"/>
  <c r="J91" i="1"/>
  <c r="K91" i="1" s="1"/>
  <c r="L91" i="1" s="1"/>
  <c r="M91" i="1" s="1"/>
  <c r="N91" i="1" s="1"/>
  <c r="O91" i="1" s="1"/>
  <c r="P91" i="1" s="1"/>
  <c r="Q91" i="1" s="1"/>
  <c r="R91" i="1" s="1"/>
  <c r="S91" i="1" s="1"/>
  <c r="C182" i="1"/>
  <c r="H182" i="1" s="1"/>
  <c r="G12" i="1"/>
  <c r="E13" i="1"/>
  <c r="E15" i="1"/>
  <c r="G22" i="1"/>
  <c r="G30" i="11" s="1"/>
  <c r="F13" i="1"/>
  <c r="I12" i="1"/>
  <c r="F12" i="1"/>
  <c r="E21" i="1"/>
  <c r="F22" i="1"/>
  <c r="F30" i="11" s="1"/>
  <c r="H22" i="1"/>
  <c r="H30" i="11" s="1"/>
  <c r="I21" i="1"/>
  <c r="G14" i="1"/>
  <c r="G21" i="1"/>
  <c r="F16" i="1"/>
  <c r="F21" i="1"/>
  <c r="I22" i="1"/>
  <c r="I30" i="11" s="1"/>
  <c r="I23" i="1"/>
  <c r="I32" i="11" s="1"/>
  <c r="H21" i="1"/>
  <c r="H23" i="1"/>
  <c r="H32" i="11" s="1"/>
  <c r="F140" i="1"/>
  <c r="J135" i="1"/>
  <c r="I24" i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J71" i="1"/>
  <c r="J110" i="1" s="1"/>
  <c r="H14" i="1"/>
  <c r="G24" i="1"/>
  <c r="F24" i="1"/>
  <c r="F14" i="1"/>
  <c r="I13" i="1"/>
  <c r="E18" i="1"/>
  <c r="I14" i="1"/>
  <c r="E24" i="1"/>
  <c r="M88" i="1"/>
  <c r="L79" i="1"/>
  <c r="L135" i="1"/>
  <c r="K135" i="1"/>
  <c r="E90" i="1"/>
  <c r="E24" i="11" s="1"/>
  <c r="H139" i="1"/>
  <c r="H16" i="1" s="1"/>
  <c r="G139" i="1"/>
  <c r="G140" i="1" s="1"/>
  <c r="I139" i="1"/>
  <c r="I16" i="1" s="1"/>
  <c r="G32" i="1"/>
  <c r="I32" i="1"/>
  <c r="F32" i="1"/>
  <c r="H122" i="1"/>
  <c r="H32" i="1"/>
  <c r="E122" i="1"/>
  <c r="I122" i="1"/>
  <c r="E114" i="1"/>
  <c r="E136" i="1"/>
  <c r="E103" i="1" s="1"/>
  <c r="E105" i="1" s="1"/>
  <c r="E74" i="1"/>
  <c r="H114" i="1"/>
  <c r="F114" i="1"/>
  <c r="F136" i="1"/>
  <c r="F103" i="1" s="1"/>
  <c r="F105" i="1" s="1"/>
  <c r="H136" i="1"/>
  <c r="H103" i="1" s="1"/>
  <c r="H105" i="1" s="1"/>
  <c r="E85" i="1"/>
  <c r="G122" i="1"/>
  <c r="G114" i="1"/>
  <c r="G85" i="1"/>
  <c r="F85" i="1"/>
  <c r="I136" i="1"/>
  <c r="I103" i="1" s="1"/>
  <c r="I105" i="1" s="1"/>
  <c r="I90" i="1"/>
  <c r="I24" i="11" s="1"/>
  <c r="H90" i="1"/>
  <c r="H24" i="11" s="1"/>
  <c r="H74" i="1"/>
  <c r="G90" i="1"/>
  <c r="G24" i="11" s="1"/>
  <c r="G74" i="1"/>
  <c r="I74" i="1"/>
  <c r="I15" i="11" s="1"/>
  <c r="E32" i="1"/>
  <c r="F90" i="1"/>
  <c r="F74" i="1"/>
  <c r="F23" i="11" s="1"/>
  <c r="F122" i="1"/>
  <c r="I85" i="1"/>
  <c r="G136" i="1"/>
  <c r="G103" i="1" s="1"/>
  <c r="G105" i="1" s="1"/>
  <c r="H85" i="1"/>
  <c r="I114" i="1"/>
  <c r="E83" i="4"/>
  <c r="E87" i="4" s="1"/>
  <c r="D83" i="4"/>
  <c r="D87" i="4" s="1"/>
  <c r="H83" i="4"/>
  <c r="H87" i="4" s="1"/>
  <c r="D24" i="3"/>
  <c r="H21" i="3"/>
  <c r="F21" i="3"/>
  <c r="E21" i="3"/>
  <c r="G21" i="3"/>
  <c r="F4" i="2"/>
  <c r="G23" i="11" l="1"/>
  <c r="H15" i="11"/>
  <c r="E20" i="11"/>
  <c r="N13" i="1"/>
  <c r="F146" i="1"/>
  <c r="J145" i="1"/>
  <c r="J147" i="1" s="1"/>
  <c r="I146" i="1"/>
  <c r="E23" i="11"/>
  <c r="J15" i="1"/>
  <c r="G15" i="11"/>
  <c r="G38" i="1"/>
  <c r="G7" i="11"/>
  <c r="G20" i="11"/>
  <c r="G28" i="11"/>
  <c r="K15" i="1"/>
  <c r="O15" i="1"/>
  <c r="H4" i="1"/>
  <c r="G4" i="11"/>
  <c r="H38" i="1"/>
  <c r="H7" i="11"/>
  <c r="E38" i="1"/>
  <c r="E7" i="11"/>
  <c r="F38" i="1"/>
  <c r="F7" i="11"/>
  <c r="H20" i="11"/>
  <c r="H28" i="11"/>
  <c r="I23" i="11"/>
  <c r="I38" i="1"/>
  <c r="I7" i="11"/>
  <c r="F15" i="11"/>
  <c r="S15" i="1"/>
  <c r="H146" i="1"/>
  <c r="N15" i="1"/>
  <c r="D10" i="5"/>
  <c r="G10" i="5" s="1"/>
  <c r="H10" i="5" s="1"/>
  <c r="I10" i="5" s="1"/>
  <c r="J10" i="5" s="1"/>
  <c r="K10" i="5" s="1"/>
  <c r="L10" i="5" s="1"/>
  <c r="M10" i="5" s="1"/>
  <c r="G145" i="1"/>
  <c r="M15" i="1"/>
  <c r="R15" i="1"/>
  <c r="I20" i="11"/>
  <c r="I28" i="11"/>
  <c r="H23" i="11"/>
  <c r="I17" i="1"/>
  <c r="F20" i="11"/>
  <c r="F28" i="11"/>
  <c r="H140" i="1"/>
  <c r="L15" i="1"/>
  <c r="Q15" i="1"/>
  <c r="S21" i="1"/>
  <c r="P15" i="1"/>
  <c r="R21" i="1"/>
  <c r="D8" i="5"/>
  <c r="H8" i="5" s="1"/>
  <c r="I8" i="5" s="1"/>
  <c r="J8" i="5" s="1"/>
  <c r="K8" i="5" s="1"/>
  <c r="L8" i="5" s="1"/>
  <c r="M8" i="5" s="1"/>
  <c r="N8" i="5" s="1"/>
  <c r="S14" i="1"/>
  <c r="M21" i="1"/>
  <c r="D9" i="5"/>
  <c r="H9" i="5" s="1"/>
  <c r="J9" i="5" s="1"/>
  <c r="K9" i="5" s="1"/>
  <c r="L9" i="5" s="1"/>
  <c r="M9" i="5" s="1"/>
  <c r="N9" i="5" s="1"/>
  <c r="H17" i="1"/>
  <c r="O14" i="1"/>
  <c r="G16" i="1"/>
  <c r="P16" i="1" s="1"/>
  <c r="I140" i="1"/>
  <c r="O21" i="1"/>
  <c r="K21" i="1"/>
  <c r="P21" i="1"/>
  <c r="N21" i="1"/>
  <c r="J21" i="1"/>
  <c r="L21" i="1"/>
  <c r="Q21" i="1"/>
  <c r="N14" i="1"/>
  <c r="K18" i="1"/>
  <c r="O18" i="1"/>
  <c r="N18" i="1"/>
  <c r="M18" i="1"/>
  <c r="J18" i="1"/>
  <c r="R18" i="1"/>
  <c r="P18" i="1"/>
  <c r="L18" i="1"/>
  <c r="Q18" i="1"/>
  <c r="S18" i="1"/>
  <c r="P13" i="1"/>
  <c r="O13" i="1"/>
  <c r="J14" i="1"/>
  <c r="S13" i="1"/>
  <c r="P14" i="1"/>
  <c r="K71" i="1"/>
  <c r="K110" i="1" s="1"/>
  <c r="K13" i="1"/>
  <c r="M13" i="1"/>
  <c r="L13" i="1"/>
  <c r="R13" i="1"/>
  <c r="J13" i="1"/>
  <c r="L14" i="1"/>
  <c r="Q13" i="1"/>
  <c r="K145" i="1"/>
  <c r="J82" i="1"/>
  <c r="R14" i="1"/>
  <c r="P22" i="1"/>
  <c r="P30" i="11" s="1"/>
  <c r="S22" i="1"/>
  <c r="S30" i="11" s="1"/>
  <c r="O22" i="1"/>
  <c r="O30" i="11" s="1"/>
  <c r="R22" i="1"/>
  <c r="R30" i="11" s="1"/>
  <c r="M22" i="1"/>
  <c r="M30" i="11" s="1"/>
  <c r="L22" i="1"/>
  <c r="L30" i="11" s="1"/>
  <c r="J22" i="1"/>
  <c r="J30" i="11" s="1"/>
  <c r="Q22" i="1"/>
  <c r="Q30" i="11" s="1"/>
  <c r="N22" i="1"/>
  <c r="N30" i="11" s="1"/>
  <c r="K22" i="1"/>
  <c r="K30" i="11" s="1"/>
  <c r="M14" i="1"/>
  <c r="K23" i="1"/>
  <c r="K32" i="11" s="1"/>
  <c r="O23" i="1"/>
  <c r="O32" i="11" s="1"/>
  <c r="M23" i="1"/>
  <c r="M32" i="11" s="1"/>
  <c r="J23" i="1"/>
  <c r="J32" i="11" s="1"/>
  <c r="P23" i="1"/>
  <c r="P32" i="11" s="1"/>
  <c r="N23" i="1"/>
  <c r="N32" i="11" s="1"/>
  <c r="L23" i="1"/>
  <c r="L32" i="11" s="1"/>
  <c r="R23" i="1"/>
  <c r="R32" i="11" s="1"/>
  <c r="Q23" i="1"/>
  <c r="Q32" i="11" s="1"/>
  <c r="S23" i="1"/>
  <c r="S32" i="11" s="1"/>
  <c r="K14" i="1"/>
  <c r="Q14" i="1"/>
  <c r="N88" i="1"/>
  <c r="M79" i="1"/>
  <c r="M135" i="1" s="1"/>
  <c r="E93" i="1"/>
  <c r="E95" i="1" s="1"/>
  <c r="E5" i="1" s="1"/>
  <c r="F124" i="1"/>
  <c r="F127" i="1" s="1"/>
  <c r="G93" i="1"/>
  <c r="G95" i="1" s="1"/>
  <c r="G5" i="1" s="1"/>
  <c r="H124" i="1"/>
  <c r="H127" i="1" s="1"/>
  <c r="E124" i="1"/>
  <c r="E127" i="1" s="1"/>
  <c r="I124" i="1"/>
  <c r="I127" i="1" s="1"/>
  <c r="J125" i="1" s="1"/>
  <c r="H93" i="1"/>
  <c r="H95" i="1" s="1"/>
  <c r="H5" i="1" s="1"/>
  <c r="G124" i="1"/>
  <c r="G127" i="1" s="1"/>
  <c r="F93" i="1"/>
  <c r="F95" i="1" s="1"/>
  <c r="F5" i="1" s="1"/>
  <c r="I93" i="1"/>
  <c r="I95" i="1" s="1"/>
  <c r="I5" i="1" s="1"/>
  <c r="D32" i="3"/>
  <c r="D38" i="3" s="1"/>
  <c r="E24" i="3"/>
  <c r="E32" i="3" s="1"/>
  <c r="E38" i="3" s="1"/>
  <c r="H27" i="3"/>
  <c r="H32" i="3" s="1"/>
  <c r="H38" i="3" s="1"/>
  <c r="G24" i="3"/>
  <c r="G32" i="3" s="1"/>
  <c r="G38" i="3" s="1"/>
  <c r="F24" i="3"/>
  <c r="F27" i="3" s="1"/>
  <c r="F32" i="3" s="1"/>
  <c r="F38" i="3" s="1"/>
  <c r="G4" i="2"/>
  <c r="F3" i="3"/>
  <c r="F3" i="4" s="1"/>
  <c r="G146" i="1" l="1"/>
  <c r="G17" i="1"/>
  <c r="D27" i="13"/>
  <c r="M20" i="11"/>
  <c r="M28" i="11"/>
  <c r="L28" i="11"/>
  <c r="L20" i="11"/>
  <c r="H41" i="1"/>
  <c r="H8" i="11"/>
  <c r="P28" i="11"/>
  <c r="P20" i="11"/>
  <c r="K28" i="11"/>
  <c r="K20" i="11"/>
  <c r="S20" i="11"/>
  <c r="S28" i="11"/>
  <c r="E41" i="1"/>
  <c r="E8" i="11"/>
  <c r="N20" i="11"/>
  <c r="N28" i="11"/>
  <c r="I4" i="1"/>
  <c r="H4" i="11"/>
  <c r="O20" i="11"/>
  <c r="O28" i="11"/>
  <c r="J20" i="11"/>
  <c r="J28" i="11"/>
  <c r="I41" i="1"/>
  <c r="I8" i="11"/>
  <c r="F41" i="1"/>
  <c r="F8" i="11"/>
  <c r="Q28" i="11"/>
  <c r="Q20" i="11"/>
  <c r="R20" i="11"/>
  <c r="R28" i="11"/>
  <c r="G41" i="1"/>
  <c r="G8" i="11"/>
  <c r="D26" i="13"/>
  <c r="D25" i="13"/>
  <c r="D24" i="13"/>
  <c r="L16" i="1"/>
  <c r="M16" i="1"/>
  <c r="R16" i="1"/>
  <c r="Q16" i="1"/>
  <c r="J16" i="1"/>
  <c r="J141" i="1" s="1"/>
  <c r="J39" i="1" s="1"/>
  <c r="O16" i="1"/>
  <c r="K16" i="1"/>
  <c r="N16" i="1"/>
  <c r="S16" i="1"/>
  <c r="L71" i="1"/>
  <c r="L110" i="1" s="1"/>
  <c r="K147" i="1"/>
  <c r="L17" i="1"/>
  <c r="J17" i="1"/>
  <c r="J148" i="1" s="1"/>
  <c r="J42" i="1" s="1"/>
  <c r="K17" i="1"/>
  <c r="K148" i="1" s="1"/>
  <c r="M17" i="1"/>
  <c r="R17" i="1"/>
  <c r="S17" i="1"/>
  <c r="Q17" i="1"/>
  <c r="N17" i="1"/>
  <c r="O17" i="1"/>
  <c r="P17" i="1"/>
  <c r="O88" i="1"/>
  <c r="N79" i="1"/>
  <c r="N135" i="1" s="1"/>
  <c r="H4" i="2"/>
  <c r="H3" i="3" s="1"/>
  <c r="H3" i="4" s="1"/>
  <c r="G3" i="3"/>
  <c r="G3" i="4" s="1"/>
  <c r="I45" i="1" l="1"/>
  <c r="I49" i="1" s="1"/>
  <c r="I9" i="11"/>
  <c r="G45" i="1"/>
  <c r="G49" i="1" s="1"/>
  <c r="G9" i="11"/>
  <c r="H45" i="1"/>
  <c r="H49" i="1" s="1"/>
  <c r="H9" i="11"/>
  <c r="J4" i="1"/>
  <c r="I4" i="11"/>
  <c r="F45" i="1"/>
  <c r="F49" i="1" s="1"/>
  <c r="F9" i="11"/>
  <c r="E45" i="1"/>
  <c r="E49" i="1" s="1"/>
  <c r="E9" i="11"/>
  <c r="J101" i="1"/>
  <c r="E167" i="1" s="1"/>
  <c r="K42" i="1"/>
  <c r="K119" i="1"/>
  <c r="J119" i="1"/>
  <c r="L145" i="1"/>
  <c r="K82" i="1"/>
  <c r="M71" i="1"/>
  <c r="M110" i="1" s="1"/>
  <c r="P88" i="1"/>
  <c r="O79" i="1"/>
  <c r="O135" i="1" s="1"/>
  <c r="E6" i="5" l="1"/>
  <c r="J4" i="11"/>
  <c r="K4" i="1"/>
  <c r="E160" i="1"/>
  <c r="G10" i="11"/>
  <c r="G11" i="11"/>
  <c r="G54" i="1"/>
  <c r="G52" i="1"/>
  <c r="G19" i="1"/>
  <c r="G34" i="11" s="1"/>
  <c r="H52" i="1"/>
  <c r="H10" i="11"/>
  <c r="H11" i="11"/>
  <c r="H54" i="1"/>
  <c r="H19" i="1"/>
  <c r="H34" i="11" s="1"/>
  <c r="E10" i="11"/>
  <c r="E11" i="11"/>
  <c r="E54" i="1"/>
  <c r="E52" i="1"/>
  <c r="E19" i="1"/>
  <c r="F10" i="11"/>
  <c r="F11" i="11"/>
  <c r="F52" i="1"/>
  <c r="F19" i="1"/>
  <c r="F34" i="11" s="1"/>
  <c r="F54" i="1"/>
  <c r="I52" i="1"/>
  <c r="I10" i="11"/>
  <c r="I11" i="11"/>
  <c r="I19" i="1"/>
  <c r="I34" i="11" s="1"/>
  <c r="I54" i="1"/>
  <c r="L148" i="1"/>
  <c r="L147" i="1"/>
  <c r="N71" i="1"/>
  <c r="N110" i="1"/>
  <c r="Q88" i="1"/>
  <c r="P79" i="1"/>
  <c r="I20" i="1" l="1"/>
  <c r="I12" i="11"/>
  <c r="M19" i="1"/>
  <c r="L19" i="1"/>
  <c r="O19" i="1"/>
  <c r="S19" i="1"/>
  <c r="J19" i="1"/>
  <c r="D36" i="8" s="1"/>
  <c r="Q19" i="1"/>
  <c r="N19" i="1"/>
  <c r="P19" i="1"/>
  <c r="R19" i="1"/>
  <c r="K19" i="1"/>
  <c r="H20" i="1"/>
  <c r="H12" i="11"/>
  <c r="F6" i="5"/>
  <c r="K4" i="11"/>
  <c r="F160" i="1"/>
  <c r="L4" i="1"/>
  <c r="G20" i="1"/>
  <c r="G12" i="11"/>
  <c r="E20" i="1"/>
  <c r="E12" i="11"/>
  <c r="F20" i="1"/>
  <c r="F12" i="11"/>
  <c r="O71" i="1"/>
  <c r="O110" i="1" s="1"/>
  <c r="M145" i="1"/>
  <c r="L82" i="1"/>
  <c r="L42" i="1"/>
  <c r="L119" i="1"/>
  <c r="R88" i="1"/>
  <c r="Q79" i="1"/>
  <c r="P135" i="1"/>
  <c r="L4" i="11" l="1"/>
  <c r="G160" i="1"/>
  <c r="G6" i="5"/>
  <c r="M4" i="1"/>
  <c r="Q20" i="1"/>
  <c r="N20" i="1"/>
  <c r="P20" i="1"/>
  <c r="O20" i="1"/>
  <c r="J20" i="1"/>
  <c r="R20" i="1"/>
  <c r="L20" i="1"/>
  <c r="S20" i="1"/>
  <c r="M20" i="1"/>
  <c r="K20" i="1"/>
  <c r="D30" i="13"/>
  <c r="C153" i="1"/>
  <c r="D37" i="8"/>
  <c r="M148" i="1"/>
  <c r="M147" i="1"/>
  <c r="P71" i="1"/>
  <c r="P110" i="1" s="1"/>
  <c r="S88" i="1"/>
  <c r="R79" i="1"/>
  <c r="Q135" i="1"/>
  <c r="M4" i="11" l="1"/>
  <c r="H6" i="5"/>
  <c r="N4" i="1"/>
  <c r="H160" i="1"/>
  <c r="Q71" i="1"/>
  <c r="Q110" i="1" s="1"/>
  <c r="N145" i="1"/>
  <c r="M82" i="1"/>
  <c r="M42" i="1"/>
  <c r="M119" i="1"/>
  <c r="S79" i="1"/>
  <c r="S135" i="1" s="1"/>
  <c r="R135" i="1"/>
  <c r="N4" i="11" l="1"/>
  <c r="I6" i="5"/>
  <c r="O4" i="1"/>
  <c r="I160" i="1"/>
  <c r="N147" i="1"/>
  <c r="N148" i="1"/>
  <c r="R71" i="1"/>
  <c r="R110" i="1" s="1"/>
  <c r="J12" i="1" l="1" a="1"/>
  <c r="J29" i="1" s="1"/>
  <c r="O4" i="11"/>
  <c r="J160" i="1"/>
  <c r="P4" i="1"/>
  <c r="J6" i="5"/>
  <c r="S71" i="1"/>
  <c r="S110" i="1" s="1"/>
  <c r="O145" i="1"/>
  <c r="N82" i="1"/>
  <c r="N42" i="1"/>
  <c r="N119" i="1"/>
  <c r="J43" i="1" l="1"/>
  <c r="J35" i="1"/>
  <c r="J140" i="1"/>
  <c r="J36" i="1"/>
  <c r="J30" i="1"/>
  <c r="J32" i="1" s="1"/>
  <c r="K29" i="1"/>
  <c r="J62" i="1"/>
  <c r="J27" i="11"/>
  <c r="P4" i="11"/>
  <c r="K6" i="5"/>
  <c r="Q4" i="1"/>
  <c r="K160" i="1"/>
  <c r="O148" i="1"/>
  <c r="O147" i="1"/>
  <c r="K36" i="1" l="1"/>
  <c r="K30" i="1"/>
  <c r="L29" i="1"/>
  <c r="K62" i="1"/>
  <c r="K43" i="1"/>
  <c r="K140" i="1"/>
  <c r="K35" i="1"/>
  <c r="K32" i="1"/>
  <c r="J132" i="1"/>
  <c r="J7" i="11"/>
  <c r="J38" i="1"/>
  <c r="J63" i="1"/>
  <c r="J133" i="1" s="1"/>
  <c r="J78" i="1"/>
  <c r="J31" i="11" s="1"/>
  <c r="E168" i="1"/>
  <c r="J142" i="1"/>
  <c r="J67" i="1" s="1"/>
  <c r="J33" i="11" s="1"/>
  <c r="J108" i="1"/>
  <c r="J111" i="1"/>
  <c r="J102" i="1"/>
  <c r="Q4" i="11"/>
  <c r="R4" i="1"/>
  <c r="L6" i="5"/>
  <c r="L160" i="1"/>
  <c r="P145" i="1"/>
  <c r="O82" i="1"/>
  <c r="O42" i="1"/>
  <c r="O119" i="1"/>
  <c r="K132" i="1" l="1"/>
  <c r="K27" i="11"/>
  <c r="J29" i="11"/>
  <c r="K139" i="1"/>
  <c r="K141" i="1" s="1"/>
  <c r="K108" i="1"/>
  <c r="F168" i="1"/>
  <c r="J134" i="1"/>
  <c r="J136" i="1" s="1"/>
  <c r="E169" i="1" s="1"/>
  <c r="J85" i="1"/>
  <c r="K63" i="1"/>
  <c r="K78" i="1"/>
  <c r="K29" i="11"/>
  <c r="K7" i="11"/>
  <c r="K38" i="1"/>
  <c r="J114" i="1"/>
  <c r="K102" i="1"/>
  <c r="K111" i="1"/>
  <c r="J8" i="11"/>
  <c r="J41" i="1"/>
  <c r="L35" i="1"/>
  <c r="L62" i="1"/>
  <c r="L132" i="1" s="1"/>
  <c r="L140" i="1"/>
  <c r="L36" i="1"/>
  <c r="L43" i="1"/>
  <c r="L30" i="1"/>
  <c r="M29" i="1"/>
  <c r="R4" i="11"/>
  <c r="M160" i="1"/>
  <c r="M6" i="5"/>
  <c r="S4" i="1"/>
  <c r="P148" i="1"/>
  <c r="P147" i="1"/>
  <c r="K114" i="1" l="1"/>
  <c r="L111" i="1"/>
  <c r="L102" i="1"/>
  <c r="K8" i="11"/>
  <c r="G168" i="1"/>
  <c r="L108" i="1"/>
  <c r="K133" i="1"/>
  <c r="J103" i="1"/>
  <c r="L27" i="11"/>
  <c r="L63" i="1"/>
  <c r="L29" i="11" s="1"/>
  <c r="L78" i="1"/>
  <c r="L31" i="11" s="1"/>
  <c r="K31" i="11"/>
  <c r="K134" i="1"/>
  <c r="K85" i="1"/>
  <c r="J45" i="1"/>
  <c r="J49" i="1" s="1"/>
  <c r="E163" i="1"/>
  <c r="E164" i="1" s="1"/>
  <c r="E166" i="1" s="1"/>
  <c r="J9" i="11"/>
  <c r="L32" i="1"/>
  <c r="M36" i="1"/>
  <c r="M140" i="1"/>
  <c r="M62" i="1"/>
  <c r="M132" i="1" s="1"/>
  <c r="M30" i="1"/>
  <c r="M35" i="1"/>
  <c r="M43" i="1"/>
  <c r="N29" i="1"/>
  <c r="K142" i="1"/>
  <c r="K67" i="1" s="1"/>
  <c r="K101" i="1"/>
  <c r="F167" i="1" s="1"/>
  <c r="K39" i="1"/>
  <c r="K41" i="1" s="1"/>
  <c r="S4" i="11"/>
  <c r="N160" i="1"/>
  <c r="N6" i="5"/>
  <c r="Q145" i="1"/>
  <c r="P82" i="1"/>
  <c r="P42" i="1"/>
  <c r="P119" i="1"/>
  <c r="L114" i="1" l="1"/>
  <c r="L133" i="1"/>
  <c r="M27" i="11"/>
  <c r="K45" i="1"/>
  <c r="K49" i="1" s="1"/>
  <c r="F163" i="1"/>
  <c r="F164" i="1" s="1"/>
  <c r="F166" i="1" s="1"/>
  <c r="K9" i="11"/>
  <c r="L139" i="1"/>
  <c r="K33" i="11"/>
  <c r="M111" i="1"/>
  <c r="M102" i="1"/>
  <c r="K136" i="1"/>
  <c r="F169" i="1" s="1"/>
  <c r="E171" i="1"/>
  <c r="N36" i="1"/>
  <c r="N35" i="1"/>
  <c r="N30" i="1"/>
  <c r="N32" i="1" s="1"/>
  <c r="N140" i="1"/>
  <c r="N43" i="1"/>
  <c r="O29" i="1"/>
  <c r="N62" i="1"/>
  <c r="N27" i="11"/>
  <c r="H168" i="1"/>
  <c r="M108" i="1"/>
  <c r="L85" i="1"/>
  <c r="L134" i="1"/>
  <c r="L7" i="11"/>
  <c r="L38" i="1"/>
  <c r="J10" i="11"/>
  <c r="J50" i="1"/>
  <c r="M32" i="1"/>
  <c r="M63" i="1"/>
  <c r="M133" i="1" s="1"/>
  <c r="M78" i="1"/>
  <c r="Q147" i="1"/>
  <c r="Q148" i="1"/>
  <c r="M114" i="1" l="1"/>
  <c r="L136" i="1"/>
  <c r="G169" i="1" s="1"/>
  <c r="J11" i="11"/>
  <c r="J52" i="1"/>
  <c r="L141" i="1"/>
  <c r="L142" i="1" s="1"/>
  <c r="L67" i="1" s="1"/>
  <c r="O140" i="1"/>
  <c r="O36" i="1"/>
  <c r="O43" i="1"/>
  <c r="P29" i="1"/>
  <c r="O30" i="1"/>
  <c r="O32" i="1" s="1"/>
  <c r="O62" i="1"/>
  <c r="O35" i="1"/>
  <c r="N111" i="1"/>
  <c r="N102" i="1"/>
  <c r="I168" i="1"/>
  <c r="N108" i="1"/>
  <c r="M29" i="11"/>
  <c r="K103" i="1"/>
  <c r="M7" i="11"/>
  <c r="M38" i="1"/>
  <c r="N38" i="1"/>
  <c r="N7" i="11"/>
  <c r="J100" i="1"/>
  <c r="J105" i="1" s="1"/>
  <c r="L103" i="1"/>
  <c r="N78" i="1"/>
  <c r="N63" i="1"/>
  <c r="N29" i="11" s="1"/>
  <c r="N31" i="11"/>
  <c r="F171" i="1"/>
  <c r="M134" i="1"/>
  <c r="M136" i="1" s="1"/>
  <c r="H169" i="1" s="1"/>
  <c r="M85" i="1"/>
  <c r="N132" i="1"/>
  <c r="L8" i="11"/>
  <c r="M31" i="11"/>
  <c r="K10" i="11"/>
  <c r="K50" i="1"/>
  <c r="K11" i="11" s="1"/>
  <c r="R145" i="1"/>
  <c r="Q82" i="1"/>
  <c r="Q42" i="1"/>
  <c r="Q119" i="1"/>
  <c r="J54" i="1" l="1"/>
  <c r="J12" i="11" s="1"/>
  <c r="J120" i="1"/>
  <c r="K52" i="1"/>
  <c r="K120" i="1" s="1"/>
  <c r="K122" i="1" s="1"/>
  <c r="N8" i="11"/>
  <c r="O63" i="1"/>
  <c r="O29" i="11" s="1"/>
  <c r="O78" i="1"/>
  <c r="O31" i="11" s="1"/>
  <c r="N133" i="1"/>
  <c r="O133" i="1"/>
  <c r="N85" i="1"/>
  <c r="N134" i="1"/>
  <c r="N136" i="1" s="1"/>
  <c r="I169" i="1" s="1"/>
  <c r="O38" i="1"/>
  <c r="O8" i="11" s="1"/>
  <c r="O7" i="11"/>
  <c r="O27" i="11"/>
  <c r="M139" i="1"/>
  <c r="M103" i="1"/>
  <c r="M8" i="11"/>
  <c r="P140" i="1"/>
  <c r="Q29" i="1"/>
  <c r="P43" i="1"/>
  <c r="P35" i="1"/>
  <c r="P36" i="1"/>
  <c r="P62" i="1"/>
  <c r="P132" i="1" s="1"/>
  <c r="P30" i="1"/>
  <c r="P32" i="1"/>
  <c r="O111" i="1"/>
  <c r="O102" i="1"/>
  <c r="N114" i="1"/>
  <c r="O108" i="1"/>
  <c r="J168" i="1"/>
  <c r="O132" i="1"/>
  <c r="L39" i="1"/>
  <c r="L41" i="1" s="1"/>
  <c r="L101" i="1"/>
  <c r="G167" i="1" s="1"/>
  <c r="R147" i="1"/>
  <c r="R148" i="1"/>
  <c r="J122" i="1" l="1"/>
  <c r="J124" i="1" s="1"/>
  <c r="J127" i="1" s="1"/>
  <c r="J89" i="1"/>
  <c r="K100" i="1"/>
  <c r="K105" i="1" s="1"/>
  <c r="K124" i="1" s="1"/>
  <c r="K54" i="1"/>
  <c r="K12" i="11" s="1"/>
  <c r="P27" i="11"/>
  <c r="P7" i="11"/>
  <c r="P38" i="1"/>
  <c r="P8" i="11" s="1"/>
  <c r="G163" i="1"/>
  <c r="G164" i="1" s="1"/>
  <c r="G166" i="1" s="1"/>
  <c r="G171" i="1" s="1"/>
  <c r="L9" i="11"/>
  <c r="L45" i="1"/>
  <c r="L49" i="1" s="1"/>
  <c r="M141" i="1"/>
  <c r="M142" i="1" s="1"/>
  <c r="M67" i="1" s="1"/>
  <c r="P111" i="1"/>
  <c r="P102" i="1"/>
  <c r="O134" i="1"/>
  <c r="O136" i="1" s="1"/>
  <c r="J169" i="1" s="1"/>
  <c r="O85" i="1"/>
  <c r="Q43" i="1"/>
  <c r="Q30" i="1"/>
  <c r="Q32" i="1" s="1"/>
  <c r="Q140" i="1"/>
  <c r="R29" i="1"/>
  <c r="Q36" i="1"/>
  <c r="Q35" i="1"/>
  <c r="Q62" i="1"/>
  <c r="P108" i="1"/>
  <c r="K168" i="1"/>
  <c r="P63" i="1"/>
  <c r="P29" i="11" s="1"/>
  <c r="P78" i="1"/>
  <c r="P31" i="11" s="1"/>
  <c r="O114" i="1"/>
  <c r="N103" i="1"/>
  <c r="L33" i="11"/>
  <c r="R42" i="1"/>
  <c r="R119" i="1"/>
  <c r="S145" i="1"/>
  <c r="R82" i="1"/>
  <c r="K125" i="1" l="1"/>
  <c r="J60" i="1"/>
  <c r="K89" i="1"/>
  <c r="J90" i="1"/>
  <c r="P114" i="1"/>
  <c r="K127" i="1"/>
  <c r="L125" i="1" s="1"/>
  <c r="P133" i="1"/>
  <c r="O103" i="1"/>
  <c r="J93" i="1"/>
  <c r="J24" i="11"/>
  <c r="J34" i="11"/>
  <c r="M39" i="1"/>
  <c r="M41" i="1" s="1"/>
  <c r="M101" i="1"/>
  <c r="H167" i="1" s="1"/>
  <c r="J74" i="1"/>
  <c r="J18" i="11"/>
  <c r="J19" i="11"/>
  <c r="L10" i="11"/>
  <c r="L50" i="1"/>
  <c r="R36" i="1"/>
  <c r="R62" i="1"/>
  <c r="R43" i="1"/>
  <c r="R140" i="1"/>
  <c r="S29" i="1"/>
  <c r="R30" i="1"/>
  <c r="R35" i="1"/>
  <c r="P134" i="1"/>
  <c r="P85" i="1"/>
  <c r="Q108" i="1"/>
  <c r="L168" i="1"/>
  <c r="Q7" i="11"/>
  <c r="Q38" i="1"/>
  <c r="Q8" i="11" s="1"/>
  <c r="Q132" i="1"/>
  <c r="K90" i="1"/>
  <c r="Q27" i="11"/>
  <c r="Q78" i="1"/>
  <c r="Q31" i="11" s="1"/>
  <c r="Q63" i="1"/>
  <c r="Q133" i="1" s="1"/>
  <c r="Q111" i="1"/>
  <c r="Q102" i="1"/>
  <c r="N139" i="1"/>
  <c r="N141" i="1" s="1"/>
  <c r="S148" i="1"/>
  <c r="S147" i="1"/>
  <c r="S82" i="1" s="1"/>
  <c r="R111" i="1" l="1"/>
  <c r="R102" i="1"/>
  <c r="R27" i="11"/>
  <c r="R132" i="1"/>
  <c r="Q114" i="1"/>
  <c r="Q29" i="11"/>
  <c r="P136" i="1"/>
  <c r="K60" i="1"/>
  <c r="K34" i="11" s="1"/>
  <c r="M33" i="11"/>
  <c r="H163" i="1"/>
  <c r="H164" i="1" s="1"/>
  <c r="H166" i="1" s="1"/>
  <c r="H171" i="1" s="1"/>
  <c r="M9" i="11"/>
  <c r="M45" i="1"/>
  <c r="M49" i="1" s="1"/>
  <c r="J95" i="1"/>
  <c r="J5" i="1" s="1"/>
  <c r="J23" i="11"/>
  <c r="J15" i="11"/>
  <c r="N142" i="1"/>
  <c r="N67" i="1" s="1"/>
  <c r="N39" i="1"/>
  <c r="N41" i="1" s="1"/>
  <c r="N101" i="1"/>
  <c r="I167" i="1" s="1"/>
  <c r="S62" i="1"/>
  <c r="S43" i="1"/>
  <c r="S111" i="1" s="1"/>
  <c r="S140" i="1"/>
  <c r="S36" i="1"/>
  <c r="S30" i="1"/>
  <c r="S35" i="1"/>
  <c r="R108" i="1"/>
  <c r="R114" i="1" s="1"/>
  <c r="M168" i="1"/>
  <c r="L52" i="1"/>
  <c r="L11" i="11"/>
  <c r="K93" i="1"/>
  <c r="K24" i="11"/>
  <c r="R32" i="1"/>
  <c r="R78" i="1"/>
  <c r="R63" i="1"/>
  <c r="R29" i="11"/>
  <c r="Q134" i="1"/>
  <c r="Q136" i="1" s="1"/>
  <c r="L169" i="1" s="1"/>
  <c r="Q85" i="1"/>
  <c r="S42" i="1"/>
  <c r="S119" i="1"/>
  <c r="S132" i="1" l="1"/>
  <c r="S27" i="11"/>
  <c r="K169" i="1"/>
  <c r="P103" i="1"/>
  <c r="K19" i="11"/>
  <c r="K18" i="11"/>
  <c r="S102" i="1"/>
  <c r="K74" i="1"/>
  <c r="K15" i="11" s="1"/>
  <c r="Q103" i="1"/>
  <c r="R134" i="1"/>
  <c r="R85" i="1"/>
  <c r="R38" i="1"/>
  <c r="R8" i="11" s="1"/>
  <c r="R7" i="11"/>
  <c r="S32" i="1"/>
  <c r="S78" i="1"/>
  <c r="S31" i="11" s="1"/>
  <c r="S63" i="1"/>
  <c r="S133" i="1" s="1"/>
  <c r="M50" i="1"/>
  <c r="M11" i="11" s="1"/>
  <c r="M10" i="11"/>
  <c r="S108" i="1"/>
  <c r="S114" i="1" s="1"/>
  <c r="N168" i="1"/>
  <c r="L54" i="1"/>
  <c r="L12" i="11" s="1"/>
  <c r="L120" i="1"/>
  <c r="L100" i="1"/>
  <c r="L105" i="1" s="1"/>
  <c r="R31" i="11"/>
  <c r="N45" i="1"/>
  <c r="N49" i="1" s="1"/>
  <c r="I163" i="1"/>
  <c r="I164" i="1" s="1"/>
  <c r="I166" i="1" s="1"/>
  <c r="I171" i="1" s="1"/>
  <c r="N9" i="11"/>
  <c r="O139" i="1"/>
  <c r="O141" i="1" s="1"/>
  <c r="R133" i="1"/>
  <c r="L122" i="1" l="1"/>
  <c r="L89" i="1"/>
  <c r="K23" i="11"/>
  <c r="K95" i="1"/>
  <c r="K5" i="1" s="1"/>
  <c r="S29" i="11"/>
  <c r="L124" i="1"/>
  <c r="L127" i="1" s="1"/>
  <c r="N50" i="1"/>
  <c r="N11" i="11" s="1"/>
  <c r="N10" i="11"/>
  <c r="L90" i="1"/>
  <c r="S134" i="1"/>
  <c r="S136" i="1" s="1"/>
  <c r="N169" i="1" s="1"/>
  <c r="S85" i="1"/>
  <c r="S7" i="11"/>
  <c r="S38" i="1"/>
  <c r="S8" i="11" s="1"/>
  <c r="N33" i="11"/>
  <c r="O142" i="1"/>
  <c r="O67" i="1" s="1"/>
  <c r="O39" i="1"/>
  <c r="O41" i="1" s="1"/>
  <c r="O101" i="1"/>
  <c r="J167" i="1" s="1"/>
  <c r="R136" i="1"/>
  <c r="M169" i="1" s="1"/>
  <c r="M52" i="1"/>
  <c r="M125" i="1" l="1"/>
  <c r="L60" i="1"/>
  <c r="S103" i="1"/>
  <c r="M100" i="1"/>
  <c r="M105" i="1" s="1"/>
  <c r="M54" i="1"/>
  <c r="M12" i="11" s="1"/>
  <c r="M120" i="1"/>
  <c r="M122" i="1" s="1"/>
  <c r="R103" i="1"/>
  <c r="L93" i="1"/>
  <c r="L24" i="11"/>
  <c r="O45" i="1"/>
  <c r="O49" i="1" s="1"/>
  <c r="J163" i="1"/>
  <c r="J164" i="1" s="1"/>
  <c r="J166" i="1" s="1"/>
  <c r="J171" i="1" s="1"/>
  <c r="O9" i="11"/>
  <c r="N52" i="1"/>
  <c r="P139" i="1"/>
  <c r="P141" i="1" s="1"/>
  <c r="L74" i="1" l="1"/>
  <c r="L15" i="11" s="1"/>
  <c r="L19" i="11"/>
  <c r="L18" i="11"/>
  <c r="L34" i="11"/>
  <c r="P142" i="1"/>
  <c r="P67" i="1" s="1"/>
  <c r="P101" i="1"/>
  <c r="K167" i="1" s="1"/>
  <c r="P39" i="1"/>
  <c r="P41" i="1" s="1"/>
  <c r="O10" i="11"/>
  <c r="O50" i="1"/>
  <c r="O11" i="11" s="1"/>
  <c r="O33" i="11"/>
  <c r="N100" i="1"/>
  <c r="N105" i="1" s="1"/>
  <c r="N54" i="1"/>
  <c r="N12" i="11" s="1"/>
  <c r="N120" i="1"/>
  <c r="N122" i="1" s="1"/>
  <c r="M89" i="1"/>
  <c r="M124" i="1"/>
  <c r="M127" i="1" s="1"/>
  <c r="L95" i="1" l="1"/>
  <c r="L5" i="1" s="1"/>
  <c r="L23" i="11"/>
  <c r="N124" i="1"/>
  <c r="O52" i="1"/>
  <c r="O54" i="1" s="1"/>
  <c r="O12" i="11" s="1"/>
  <c r="M90" i="1"/>
  <c r="N89" i="1"/>
  <c r="N125" i="1"/>
  <c r="M60" i="1"/>
  <c r="K163" i="1"/>
  <c r="K164" i="1" s="1"/>
  <c r="K166" i="1" s="1"/>
  <c r="K171" i="1" s="1"/>
  <c r="P45" i="1"/>
  <c r="P49" i="1" s="1"/>
  <c r="P9" i="11"/>
  <c r="Q139" i="1"/>
  <c r="Q141" i="1" s="1"/>
  <c r="N127" i="1" l="1"/>
  <c r="O120" i="1"/>
  <c r="O100" i="1"/>
  <c r="O105" i="1" s="1"/>
  <c r="P50" i="1"/>
  <c r="P10" i="11"/>
  <c r="P33" i="11"/>
  <c r="M18" i="11"/>
  <c r="M19" i="11"/>
  <c r="M74" i="1"/>
  <c r="N90" i="1"/>
  <c r="Q142" i="1"/>
  <c r="Q67" i="1" s="1"/>
  <c r="Q39" i="1"/>
  <c r="Q41" i="1" s="1"/>
  <c r="Q101" i="1"/>
  <c r="L167" i="1" s="1"/>
  <c r="M24" i="11"/>
  <c r="M93" i="1"/>
  <c r="M34" i="11"/>
  <c r="O125" i="1" l="1"/>
  <c r="N60" i="1"/>
  <c r="O122" i="1"/>
  <c r="O124" i="1" s="1"/>
  <c r="O89" i="1"/>
  <c r="O90" i="1" s="1"/>
  <c r="P11" i="11"/>
  <c r="P52" i="1"/>
  <c r="P100" i="1" s="1"/>
  <c r="P105" i="1" s="1"/>
  <c r="N24" i="11"/>
  <c r="N93" i="1"/>
  <c r="Q45" i="1"/>
  <c r="Q49" i="1" s="1"/>
  <c r="Q9" i="11"/>
  <c r="L163" i="1"/>
  <c r="L164" i="1" s="1"/>
  <c r="L166" i="1" s="1"/>
  <c r="L171" i="1" s="1"/>
  <c r="M95" i="1"/>
  <c r="M5" i="1" s="1"/>
  <c r="M23" i="11"/>
  <c r="M15" i="11"/>
  <c r="R139" i="1"/>
  <c r="R141" i="1" s="1"/>
  <c r="O127" i="1" l="1"/>
  <c r="N34" i="11"/>
  <c r="N74" i="1"/>
  <c r="N18" i="11"/>
  <c r="N19" i="11"/>
  <c r="P54" i="1"/>
  <c r="P12" i="11" s="1"/>
  <c r="P120" i="1"/>
  <c r="Q33" i="11"/>
  <c r="R142" i="1"/>
  <c r="R67" i="1" s="1"/>
  <c r="R39" i="1"/>
  <c r="R41" i="1" s="1"/>
  <c r="R101" i="1"/>
  <c r="M167" i="1" s="1"/>
  <c r="O93" i="1"/>
  <c r="O24" i="11"/>
  <c r="Q50" i="1"/>
  <c r="Q11" i="11" s="1"/>
  <c r="Q10" i="11"/>
  <c r="O60" i="1" l="1"/>
  <c r="P125" i="1"/>
  <c r="N15" i="11"/>
  <c r="N95" i="1"/>
  <c r="N5" i="1" s="1"/>
  <c r="N23" i="11"/>
  <c r="O18" i="11"/>
  <c r="O19" i="11"/>
  <c r="O34" i="11"/>
  <c r="O74" i="1"/>
  <c r="P89" i="1"/>
  <c r="P90" i="1" s="1"/>
  <c r="P122" i="1"/>
  <c r="P124" i="1" s="1"/>
  <c r="P127" i="1" s="1"/>
  <c r="Q52" i="1"/>
  <c r="Q54" i="1" s="1"/>
  <c r="Q12" i="11" s="1"/>
  <c r="S139" i="1"/>
  <c r="S141" i="1" s="1"/>
  <c r="R33" i="11"/>
  <c r="R45" i="1"/>
  <c r="R49" i="1" s="1"/>
  <c r="M163" i="1"/>
  <c r="M164" i="1" s="1"/>
  <c r="M166" i="1" s="1"/>
  <c r="M171" i="1" s="1"/>
  <c r="R9" i="11"/>
  <c r="H181" i="1"/>
  <c r="H186" i="1" s="1"/>
  <c r="F17" i="6"/>
  <c r="C157" i="1"/>
  <c r="D10" i="8"/>
  <c r="D18" i="8" s="1"/>
  <c r="D29" i="8" s="1"/>
  <c r="D31" i="8" s="1"/>
  <c r="O15" i="11" l="1"/>
  <c r="O23" i="11"/>
  <c r="O95" i="1"/>
  <c r="O5" i="1" s="1"/>
  <c r="P24" i="11"/>
  <c r="P93" i="1"/>
  <c r="P60" i="1"/>
  <c r="Q125" i="1"/>
  <c r="Q120" i="1"/>
  <c r="Q122" i="1" s="1"/>
  <c r="Q100" i="1"/>
  <c r="Q105" i="1" s="1"/>
  <c r="R50" i="1"/>
  <c r="R10" i="11"/>
  <c r="S142" i="1"/>
  <c r="S67" i="1" s="1"/>
  <c r="S33" i="11" s="1"/>
  <c r="S101" i="1"/>
  <c r="N167" i="1" s="1"/>
  <c r="S39" i="1"/>
  <c r="S41" i="1" s="1"/>
  <c r="F10" i="8"/>
  <c r="J10" i="8" s="1"/>
  <c r="J15" i="8" s="1"/>
  <c r="G10" i="8"/>
  <c r="G15" i="8" s="1"/>
  <c r="D24" i="8" s="1"/>
  <c r="D25" i="8" s="1"/>
  <c r="H188" i="1"/>
  <c r="M181" i="1" s="1"/>
  <c r="G16" i="8"/>
  <c r="E17" i="6"/>
  <c r="H21" i="6" s="1"/>
  <c r="G18" i="8"/>
  <c r="P18" i="11" l="1"/>
  <c r="P34" i="11"/>
  <c r="P19" i="11"/>
  <c r="P74" i="1"/>
  <c r="R11" i="11"/>
  <c r="R52" i="1"/>
  <c r="Q124" i="1"/>
  <c r="Q127" i="1" s="1"/>
  <c r="Q60" i="1" s="1"/>
  <c r="Q89" i="1"/>
  <c r="Q90" i="1" s="1"/>
  <c r="N163" i="1"/>
  <c r="S45" i="1"/>
  <c r="S49" i="1" s="1"/>
  <c r="S9" i="11"/>
  <c r="F16" i="8"/>
  <c r="J18" i="8"/>
  <c r="F18" i="8"/>
  <c r="J16" i="8"/>
  <c r="D44" i="8" s="1"/>
  <c r="D45" i="8" s="1"/>
  <c r="D47" i="8" s="1"/>
  <c r="F15" i="8"/>
  <c r="H22" i="6"/>
  <c r="I21" i="6"/>
  <c r="P95" i="1" l="1"/>
  <c r="P5" i="1" s="1"/>
  <c r="P23" i="11"/>
  <c r="P15" i="11"/>
  <c r="R120" i="1"/>
  <c r="R100" i="1"/>
  <c r="R105" i="1" s="1"/>
  <c r="R54" i="1"/>
  <c r="R12" i="11" s="1"/>
  <c r="R125" i="1"/>
  <c r="S50" i="1"/>
  <c r="S11" i="11" s="1"/>
  <c r="S10" i="11"/>
  <c r="Q74" i="1"/>
  <c r="Q19" i="11"/>
  <c r="Q18" i="11"/>
  <c r="Q93" i="1"/>
  <c r="Q24" i="11"/>
  <c r="Q34" i="11"/>
  <c r="R166" i="1"/>
  <c r="N164" i="1"/>
  <c r="N166" i="1" s="1"/>
  <c r="N171" i="1" s="1"/>
  <c r="D31" i="13"/>
  <c r="C156" i="1"/>
  <c r="H23" i="6"/>
  <c r="I22" i="6"/>
  <c r="R122" i="1" l="1"/>
  <c r="R124" i="1" s="1"/>
  <c r="R127" i="1" s="1"/>
  <c r="R89" i="1"/>
  <c r="R90" i="1" s="1"/>
  <c r="M174" i="1"/>
  <c r="M176" i="1" s="1"/>
  <c r="N174" i="1"/>
  <c r="N176" i="1" s="1"/>
  <c r="Q95" i="1"/>
  <c r="Q5" i="1" s="1"/>
  <c r="Q23" i="11"/>
  <c r="Q15" i="11"/>
  <c r="S52" i="1"/>
  <c r="J174" i="1"/>
  <c r="J176" i="1" s="1"/>
  <c r="K174" i="1"/>
  <c r="K176" i="1" s="1"/>
  <c r="R167" i="1"/>
  <c r="R168" i="1" s="1"/>
  <c r="N172" i="1" s="1"/>
  <c r="E174" i="1"/>
  <c r="E176" i="1" s="1"/>
  <c r="H174" i="1"/>
  <c r="H176" i="1" s="1"/>
  <c r="I174" i="1"/>
  <c r="I176" i="1" s="1"/>
  <c r="G174" i="1"/>
  <c r="G176" i="1" s="1"/>
  <c r="F174" i="1"/>
  <c r="F176" i="1" s="1"/>
  <c r="L174" i="1"/>
  <c r="L176" i="1" s="1"/>
  <c r="R60" i="1" l="1"/>
  <c r="R34" i="11" s="1"/>
  <c r="S125" i="1"/>
  <c r="N177" i="1"/>
  <c r="C181" i="1" s="1"/>
  <c r="C186" i="1" s="1"/>
  <c r="C188" i="1" s="1"/>
  <c r="E196" i="1" s="1"/>
  <c r="R93" i="1"/>
  <c r="R24" i="11"/>
  <c r="S54" i="1"/>
  <c r="S12" i="11" s="1"/>
  <c r="S120" i="1"/>
  <c r="S100" i="1"/>
  <c r="S105" i="1" s="1"/>
  <c r="R18" i="11" l="1"/>
  <c r="R74" i="1"/>
  <c r="R15" i="11" s="1"/>
  <c r="R19" i="11"/>
  <c r="S122" i="1"/>
  <c r="S124" i="1" s="1"/>
  <c r="S127" i="1" s="1"/>
  <c r="S60" i="1" s="1"/>
  <c r="S74" i="1" s="1"/>
  <c r="S89" i="1"/>
  <c r="S90" i="1" s="1"/>
  <c r="E205" i="1"/>
  <c r="M183" i="1"/>
  <c r="M185" i="1" s="1"/>
  <c r="S93" i="1" l="1"/>
  <c r="S95" i="1" s="1"/>
  <c r="S5" i="1" s="1"/>
  <c r="S24" i="11"/>
  <c r="R23" i="11"/>
  <c r="R95" i="1"/>
  <c r="R5" i="1" s="1"/>
  <c r="S34" i="11"/>
  <c r="S19" i="11"/>
  <c r="S18" i="11"/>
  <c r="S23" i="11"/>
  <c r="S15" i="11"/>
  <c r="E23" i="6"/>
  <c r="I2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 Nilapwar</author>
  </authors>
  <commentList>
    <comment ref="C155" authorId="0" shapeId="0" xr:uid="{79FCAAAE-14D6-4381-850C-07308DF2A63D}">
      <text>
        <r>
          <rPr>
            <b/>
            <sz val="9"/>
            <color indexed="81"/>
            <rFont val="Tahoma"/>
            <family val="2"/>
          </rPr>
          <t>Om Nilapwar:</t>
        </r>
        <r>
          <rPr>
            <sz val="9"/>
            <color indexed="81"/>
            <rFont val="Tahoma"/>
            <family val="2"/>
          </rPr>
          <t xml:space="preserve">
Data From tradingeconomics.com
Economic Growth rate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 Nilapwar</author>
  </authors>
  <commentList>
    <comment ref="D35" authorId="0" shapeId="0" xr:uid="{6980EF73-3569-498F-AF28-3B2F954DA2E8}">
      <text>
        <r>
          <rPr>
            <b/>
            <sz val="9"/>
            <color indexed="81"/>
            <rFont val="Tahoma"/>
            <family val="2"/>
          </rPr>
          <t>Om Nilapwar:</t>
        </r>
        <r>
          <rPr>
            <sz val="9"/>
            <color indexed="81"/>
            <rFont val="Tahoma"/>
            <family val="2"/>
          </rPr>
          <t xml:space="preserve">
We take 8% Because Ref. in Annual Report shows that 7.5 to 8.5%</t>
        </r>
      </text>
    </comment>
    <comment ref="D36" authorId="0" shapeId="0" xr:uid="{FD6F3F82-13D3-4F9D-A068-4BF491489D52}">
      <text>
        <r>
          <rPr>
            <b/>
            <sz val="9"/>
            <color indexed="81"/>
            <rFont val="Tahoma"/>
            <family val="2"/>
          </rPr>
          <t>Om Nilapwar:</t>
        </r>
        <r>
          <rPr>
            <sz val="9"/>
            <color indexed="81"/>
            <rFont val="Tahoma"/>
            <family val="2"/>
          </rPr>
          <t xml:space="preserve">
Average of past 5 year tax Rate</t>
        </r>
      </text>
    </comment>
    <comment ref="D41" authorId="0" shapeId="0" xr:uid="{E1F6D506-60F4-4C51-ACD7-F3D3E50122C1}">
      <text>
        <r>
          <rPr>
            <b/>
            <sz val="9"/>
            <color indexed="81"/>
            <rFont val="Tahoma"/>
            <family val="2"/>
          </rPr>
          <t>Om Nilapwar:</t>
        </r>
        <r>
          <rPr>
            <sz val="9"/>
            <color indexed="81"/>
            <rFont val="Tahoma"/>
            <family val="2"/>
          </rPr>
          <t xml:space="preserve">
We take from 
Investing.com 
10yr Bond Yeild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<sst xmlns="http://schemas.openxmlformats.org/spreadsheetml/2006/main" count="584" uniqueCount="479">
  <si>
    <t xml:space="preserve">HUL </t>
  </si>
  <si>
    <t>Particular</t>
  </si>
  <si>
    <t>All Values In Crores</t>
  </si>
  <si>
    <t>ASSETS</t>
  </si>
  <si>
    <t>Non-current assets</t>
  </si>
  <si>
    <t>Property, plant and equipment</t>
  </si>
  <si>
    <t>Capital work-in-progress</t>
  </si>
  <si>
    <t>Goodwill</t>
  </si>
  <si>
    <t>Other intangible assets</t>
  </si>
  <si>
    <t>Investments accounted for using the equity method</t>
  </si>
  <si>
    <t>Financial assets</t>
  </si>
  <si>
    <t xml:space="preserve"> Investments</t>
  </si>
  <si>
    <t>Loans</t>
  </si>
  <si>
    <t>Other financial assets</t>
  </si>
  <si>
    <t>Deferred tax assets</t>
  </si>
  <si>
    <t>Non-current tax assets (net)</t>
  </si>
  <si>
    <t>Other non-current assets</t>
  </si>
  <si>
    <t>Total – Non-current assets (A)</t>
  </si>
  <si>
    <t>Current assets</t>
  </si>
  <si>
    <t>Inventories</t>
  </si>
  <si>
    <t xml:space="preserve">Financial assets </t>
  </si>
  <si>
    <t>Trade receivables</t>
  </si>
  <si>
    <t>Cash and cash equivalents</t>
  </si>
  <si>
    <t>Bank balances other than cash and cash equivalents mentioned above</t>
  </si>
  <si>
    <t>Current tax assets (net)</t>
  </si>
  <si>
    <t>Other current assets</t>
  </si>
  <si>
    <t>Assets held for sale</t>
  </si>
  <si>
    <t>Total – Current assets (B)</t>
  </si>
  <si>
    <t>TOTAL ASSETS (A+B)</t>
  </si>
  <si>
    <t>EQUITY AND LIABILITIES</t>
  </si>
  <si>
    <t xml:space="preserve">Equity </t>
  </si>
  <si>
    <t>Equity share capital</t>
  </si>
  <si>
    <t>Other equity</t>
  </si>
  <si>
    <t>Non-controlling interests</t>
  </si>
  <si>
    <t>Total – Equity (A)</t>
  </si>
  <si>
    <t>Liabilities</t>
  </si>
  <si>
    <t>Non-current liabilities</t>
  </si>
  <si>
    <t>Financial liabilities</t>
  </si>
  <si>
    <t>Lease Liabilities</t>
  </si>
  <si>
    <t>Other financial liabilities</t>
  </si>
  <si>
    <t>Provisions</t>
  </si>
  <si>
    <t>Deferred tax liabilities</t>
  </si>
  <si>
    <t>Non-current tax liabilities (net)</t>
  </si>
  <si>
    <t>Total – Non-current liabilities (B)</t>
  </si>
  <si>
    <t>Current liabilities</t>
  </si>
  <si>
    <t xml:space="preserve">Financial liabilities </t>
  </si>
  <si>
    <t>Borrowings</t>
  </si>
  <si>
    <t xml:space="preserve">Trade payables 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</si>
  <si>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</si>
  <si>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</si>
  <si>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</si>
  <si>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Current tax liabilities</t>
  </si>
  <si>
    <t>Total – Current liabilities (C)</t>
  </si>
  <si>
    <t>TOTAL EQUITY AND LIABILITIES (A+B+C)</t>
  </si>
  <si>
    <t>check</t>
  </si>
  <si>
    <t>INCOME</t>
  </si>
  <si>
    <t>Revenue from operations</t>
  </si>
  <si>
    <t>Other income</t>
  </si>
  <si>
    <t>TOTAL INCOME</t>
  </si>
  <si>
    <t>EXPENSES</t>
  </si>
  <si>
    <t>Cost of materials consumed</t>
  </si>
  <si>
    <t>Purchases of stock-in-trade</t>
  </si>
  <si>
    <t>Changes in inventories of finished goods, Stock-in-Trade and work-in-progress</t>
  </si>
  <si>
    <t>Employee benefits expense</t>
  </si>
  <si>
    <t>Finance costs</t>
  </si>
  <si>
    <t>Depreciation and amortisation expense</t>
  </si>
  <si>
    <t>Other expenses</t>
  </si>
  <si>
    <t>TOTAL EXPENSES</t>
  </si>
  <si>
    <t>Share of loss of equity accounted investee net of tax</t>
  </si>
  <si>
    <t>Profit before exceptional items and tax</t>
  </si>
  <si>
    <t>Exceptional items (net)</t>
  </si>
  <si>
    <t>Profit before tax from Continuing Operations</t>
  </si>
  <si>
    <t xml:space="preserve">Tax expenses </t>
  </si>
  <si>
    <t>Current tax</t>
  </si>
  <si>
    <t>Deferred tax charge</t>
  </si>
  <si>
    <t>Profit after tax from Continuing Operations (A)</t>
  </si>
  <si>
    <t>Profit/(Loss) from discontinued operations before tax</t>
  </si>
  <si>
    <t>Tax adjustment of discontinued operations</t>
  </si>
  <si>
    <t>Profit/(Loss) from discontinued operations after tax (B)</t>
  </si>
  <si>
    <t>PROFIT FOR THE YEAR (A+B)</t>
  </si>
  <si>
    <t>A CASH FLOWS FROM OPERATING ACTIVITIES:</t>
  </si>
  <si>
    <t>Profit before tax from continuing operations and before share of equity accounted investee</t>
  </si>
  <si>
    <t>Profit / (loss) before tax from discontinued operations</t>
  </si>
  <si>
    <t>Adjustments for:</t>
  </si>
  <si>
    <t>Depreciation and amortisation expenses</t>
  </si>
  <si>
    <t>(Profit)/loss on sale of property, plant and equipment</t>
  </si>
  <si>
    <t>Contingent consideration true up for business combination</t>
  </si>
  <si>
    <t>Fair value gain on financial liability on acquisition</t>
  </si>
  <si>
    <t>Finance Income</t>
  </si>
  <si>
    <t>Dividend income</t>
  </si>
  <si>
    <t>Other non operating income – Fair value gain on investments</t>
  </si>
  <si>
    <t>Profit on sale of stake in joint venture</t>
  </si>
  <si>
    <t>Interest expense</t>
  </si>
  <si>
    <t>Movement in provision towards litigation</t>
  </si>
  <si>
    <t>Provision for expenses on employee stock options</t>
  </si>
  <si>
    <t>Profit on sale of brand rights</t>
  </si>
  <si>
    <t>Payment from Retirement Benefit Scheme Reserve</t>
  </si>
  <si>
    <t>Transaction cost from acquisition</t>
  </si>
  <si>
    <t>Inventory written off net of Provision/(write back) for Inventory</t>
  </si>
  <si>
    <t>Reversal of indemnification asset on expiry of underlying income tax</t>
  </si>
  <si>
    <t>Bad debts/assets written off net of Provision/(write back)</t>
  </si>
  <si>
    <t>Gain on demerger of ice cream business</t>
  </si>
  <si>
    <t>Mark-to-market (gain)/ loss on derivative financial instruments</t>
  </si>
  <si>
    <t>Cash Generated from operations before working capital changes</t>
  </si>
  <si>
    <t>(Increase)/decrease in Non-Current Assets</t>
  </si>
  <si>
    <t>(Increase)/decrease in Current Assets</t>
  </si>
  <si>
    <t>(Increase)/decrease in Inventories</t>
  </si>
  <si>
    <t>Increase/(decrease) in Non-Current Liabilities</t>
  </si>
  <si>
    <t>Increase/(decrease) in Current Liabilities</t>
  </si>
  <si>
    <t>Cash flows generated from operations</t>
  </si>
  <si>
    <t>Taxes paid (net of refunds)</t>
  </si>
  <si>
    <t>Profit/(Loss) from Joint venture</t>
  </si>
  <si>
    <t>Profit/(Loss) from discontinued operations</t>
  </si>
  <si>
    <t>Net cash flows generated from operating activities - [A]</t>
  </si>
  <si>
    <t>B CASH FLOWS FROM INVESTING ACTIVITIES:</t>
  </si>
  <si>
    <t>Purchase of property, plant and equipment</t>
  </si>
  <si>
    <t>Sale proceeds of property, plant and equipment</t>
  </si>
  <si>
    <t>Purchase of non-current investments</t>
  </si>
  <si>
    <t>Sale proceeds of non-current investments</t>
  </si>
  <si>
    <t>Purchase of intangible assets</t>
  </si>
  <si>
    <t>Sale proceeds of intangible assets (brand rights)</t>
  </si>
  <si>
    <t>Investment in subsidiary</t>
  </si>
  <si>
    <t>Transaction cost on acquisition</t>
  </si>
  <si>
    <t>Investment in joint venture</t>
  </si>
  <si>
    <t>Contingent consideration paid on business combination</t>
  </si>
  <si>
    <t>Purchase of non-controlling interests</t>
  </si>
  <si>
    <t>Purchase of current investments</t>
  </si>
  <si>
    <t>Sale proceeds of current investments</t>
  </si>
  <si>
    <t>Loans given to others</t>
  </si>
  <si>
    <t>Investment in term deposits (having original maturity of more than 3 months)</t>
  </si>
  <si>
    <t>Redemption/maturity of term deposits (having original maturity of more than 3 months)</t>
  </si>
  <si>
    <t>Investment in non-current deposits with banks</t>
  </si>
  <si>
    <t>Consideration received on disposal of joint venture (net of transaction costs)</t>
  </si>
  <si>
    <t>Interest received</t>
  </si>
  <si>
    <t>Dividend received from others</t>
  </si>
  <si>
    <t>Net cash flows used in investing activities - [B]</t>
  </si>
  <si>
    <t>C CASH FLOWS FROM FINANCING ACTIVITIES:</t>
  </si>
  <si>
    <t>Dividends paid</t>
  </si>
  <si>
    <t>Amount taken for short term purpose</t>
  </si>
  <si>
    <t>Repayment of amount taken for short term purpose</t>
  </si>
  <si>
    <t>Borrowings repaid</t>
  </si>
  <si>
    <t>Principal payment of lease liabilities</t>
  </si>
  <si>
    <t>Interest paid on lease liabilities</t>
  </si>
  <si>
    <t>Interest paid other than on lease liabilities</t>
  </si>
  <si>
    <t>Employee stock options paid</t>
  </si>
  <si>
    <t>Net cash flows used in financing activities - [C]</t>
  </si>
  <si>
    <t>Net decrease in cash and cash equivalents - [A+B+C]</t>
  </si>
  <si>
    <t>Add: Cash and cash equivalents at the beginning of the year</t>
  </si>
  <si>
    <t>Add: Cash acquired under Business Combination (refer note 44)</t>
  </si>
  <si>
    <t>Cash and cash equivalents at the end of the year</t>
  </si>
  <si>
    <t>Components of cash and cash equivalents:</t>
  </si>
  <si>
    <t>Cash and cash equivalents as per Consolidated Balance Sheet (refer note 12)</t>
  </si>
  <si>
    <t>Less: Bank overdraft (refer note 23)</t>
  </si>
  <si>
    <t>Cash and cash equivalents for Consolidated Statement of Cash Flows</t>
  </si>
  <si>
    <t>Historical Period</t>
  </si>
  <si>
    <t>Financial Statement &amp; DCF Analysis</t>
  </si>
  <si>
    <t>Hindustan Uniliver Ltd</t>
  </si>
  <si>
    <t>HINDUNILVR | 500696</t>
  </si>
  <si>
    <t>Income Statement</t>
  </si>
  <si>
    <t>Income</t>
  </si>
  <si>
    <t>Revenue</t>
  </si>
  <si>
    <t>Less: Cost of Goods Sold (COGS)</t>
  </si>
  <si>
    <t>Gross Profit</t>
  </si>
  <si>
    <t>Expenses</t>
  </si>
  <si>
    <t>Less: Employee Benefits Expenses</t>
  </si>
  <si>
    <t>Less: Other SG&amp;A Expenses</t>
  </si>
  <si>
    <t>Earning Before Interest Tax Depeciation &amp; Amortization (EBITDA)</t>
  </si>
  <si>
    <t>Less: Depreciation &amp; Amortisation Expenses</t>
  </si>
  <si>
    <t>Earning Before Interest Tax (EBIT)</t>
  </si>
  <si>
    <t>Less: Interest</t>
  </si>
  <si>
    <t>Add: Other Income</t>
  </si>
  <si>
    <t xml:space="preserve">Earning Before Tax &amp; Exceptional Item </t>
  </si>
  <si>
    <t>Less: Exceptional Items</t>
  </si>
  <si>
    <t>Earning Before Tax</t>
  </si>
  <si>
    <t>Less: Taxes</t>
  </si>
  <si>
    <t>Net Earning</t>
  </si>
  <si>
    <t>PAT</t>
  </si>
  <si>
    <t>Profit before Exceptional Items and tax and before share of equity accounted TRUSTEE</t>
  </si>
  <si>
    <t>Balance Sheet</t>
  </si>
  <si>
    <t>Assets</t>
  </si>
  <si>
    <t>Bank Balances</t>
  </si>
  <si>
    <t>Account Receivables</t>
  </si>
  <si>
    <t>Financial Assets</t>
  </si>
  <si>
    <t>Total Assets</t>
  </si>
  <si>
    <t>Current Liabilities</t>
  </si>
  <si>
    <t>Account Payable</t>
  </si>
  <si>
    <t>Debt</t>
  </si>
  <si>
    <t>Other non-current liabilities</t>
  </si>
  <si>
    <t xml:space="preserve">Total liabilities </t>
  </si>
  <si>
    <t>Shareholder Equity</t>
  </si>
  <si>
    <t>Equity Share Capital</t>
  </si>
  <si>
    <t>Retained earning</t>
  </si>
  <si>
    <t>Total Shareholder Equity</t>
  </si>
  <si>
    <t>Non controlling interest</t>
  </si>
  <si>
    <t>Total liabilities &amp; Shareholder Equity</t>
  </si>
  <si>
    <t>Check</t>
  </si>
  <si>
    <t>Cash Flow Statement</t>
  </si>
  <si>
    <t>Operating Cash Flow</t>
  </si>
  <si>
    <t>Add: Depreciation and Amortisation</t>
  </si>
  <si>
    <t>Add/Less: Adjustments for Non Operating Items</t>
  </si>
  <si>
    <t>Add/Less: Adjustments for Operating Assets &amp; liabilities</t>
  </si>
  <si>
    <t>Cash from Operation</t>
  </si>
  <si>
    <t>Investing Cash Flow</t>
  </si>
  <si>
    <t>Investment in property, plant and equipment</t>
  </si>
  <si>
    <t>Investment intangible asset</t>
  </si>
  <si>
    <t>Purchase/sale of Investmet</t>
  </si>
  <si>
    <t>Dividend received</t>
  </si>
  <si>
    <t>Cash from Investing</t>
  </si>
  <si>
    <t>Financing Cash Flow</t>
  </si>
  <si>
    <t>Issuance (Repayment) of Debt</t>
  </si>
  <si>
    <t>Interest paid</t>
  </si>
  <si>
    <t>Payment of dividend on equity shares</t>
  </si>
  <si>
    <t>Cash from financing</t>
  </si>
  <si>
    <t>Net increase/ Decrease in Cash</t>
  </si>
  <si>
    <t>Opening cash balance</t>
  </si>
  <si>
    <t>Closing Cash Balance</t>
  </si>
  <si>
    <t xml:space="preserve">Subtotal of Adjustments </t>
  </si>
  <si>
    <t>Cash acquired under Business Combination</t>
  </si>
  <si>
    <t>Supporting Schedules</t>
  </si>
  <si>
    <t>Working Capital</t>
  </si>
  <si>
    <t>Accounts Receivable</t>
  </si>
  <si>
    <t>Inventory</t>
  </si>
  <si>
    <t>Account Payables</t>
  </si>
  <si>
    <t>Other</t>
  </si>
  <si>
    <t xml:space="preserve">Total </t>
  </si>
  <si>
    <t>Ratio &amp; Assumptions</t>
  </si>
  <si>
    <t>Revenue Growth</t>
  </si>
  <si>
    <t>%</t>
  </si>
  <si>
    <t>Cost of Good Sold (% of Revenue)</t>
  </si>
  <si>
    <t>Employee Benefits Expenses (% of Revenue)</t>
  </si>
  <si>
    <t>Other SG&amp;A Expenses (% of Revenue)</t>
  </si>
  <si>
    <t>Depreciation &amp; Amortisation Expenses (% of PPE)</t>
  </si>
  <si>
    <t>Interest (% of Debt)</t>
  </si>
  <si>
    <t>Other Income (% of Revenue)</t>
  </si>
  <si>
    <t>Tax Rate (% of Earning Before Tax)</t>
  </si>
  <si>
    <t>Divident Payout</t>
  </si>
  <si>
    <t>Account Receivable</t>
  </si>
  <si>
    <t>Days</t>
  </si>
  <si>
    <t>Accounts Payable</t>
  </si>
  <si>
    <t>Capital Assets Turnover Ratio</t>
  </si>
  <si>
    <t>Times</t>
  </si>
  <si>
    <t>Depreciation Schedule</t>
  </si>
  <si>
    <t>PPE Opening</t>
  </si>
  <si>
    <t>Add: Capex</t>
  </si>
  <si>
    <t>Less: Depreciation</t>
  </si>
  <si>
    <t>PPE Closing</t>
  </si>
  <si>
    <t>Debt &amp; Interest Schedule</t>
  </si>
  <si>
    <t>Debt Opening</t>
  </si>
  <si>
    <t>Issuance / Repayment</t>
  </si>
  <si>
    <t>Debt Closing</t>
  </si>
  <si>
    <t>Interest Expenses</t>
  </si>
  <si>
    <t>Scenarios</t>
  </si>
  <si>
    <t>Growth (%)</t>
  </si>
  <si>
    <t>Base Case</t>
  </si>
  <si>
    <t>Bull Case</t>
  </si>
  <si>
    <t>Bear Case</t>
  </si>
  <si>
    <t>Annual Growth Tapering</t>
  </si>
  <si>
    <t>Live Scenario</t>
  </si>
  <si>
    <t>Units</t>
  </si>
  <si>
    <t>MasterCheck</t>
  </si>
  <si>
    <t>S.No.</t>
  </si>
  <si>
    <t>Company</t>
  </si>
  <si>
    <t>EV / EBITDA</t>
  </si>
  <si>
    <t>P/E</t>
  </si>
  <si>
    <t>Hind. Unilever</t>
  </si>
  <si>
    <t>ITC</t>
  </si>
  <si>
    <t>Hindustan Foods</t>
  </si>
  <si>
    <t>Godavari Bioref.</t>
  </si>
  <si>
    <r>
      <t>CMP </t>
    </r>
    <r>
      <rPr>
        <sz val="11"/>
        <color theme="0"/>
        <rFont val="Arial"/>
        <family val="2"/>
      </rPr>
      <t>Rs.</t>
    </r>
  </si>
  <si>
    <r>
      <t>Mar Cap </t>
    </r>
    <r>
      <rPr>
        <sz val="11"/>
        <color theme="0"/>
        <rFont val="Arial"/>
        <family val="2"/>
      </rPr>
      <t>Rs.Cr.</t>
    </r>
  </si>
  <si>
    <r>
      <t>Debt </t>
    </r>
    <r>
      <rPr>
        <sz val="11"/>
        <color theme="0"/>
        <rFont val="Arial"/>
        <family val="2"/>
      </rPr>
      <t>Rs.Cr.</t>
    </r>
  </si>
  <si>
    <r>
      <t>EV </t>
    </r>
    <r>
      <rPr>
        <sz val="11"/>
        <color theme="0"/>
        <rFont val="Arial"/>
        <family val="2"/>
      </rPr>
      <t>Rs.Cr.</t>
    </r>
  </si>
  <si>
    <r>
      <t>Sales </t>
    </r>
    <r>
      <rPr>
        <sz val="11"/>
        <color theme="0"/>
        <rFont val="Arial"/>
        <family val="2"/>
      </rPr>
      <t>Rs.Cr.</t>
    </r>
  </si>
  <si>
    <t>EBITDA</t>
  </si>
  <si>
    <r>
      <t>PAT 12M </t>
    </r>
    <r>
      <rPr>
        <sz val="11"/>
        <color theme="0"/>
        <rFont val="Arial"/>
        <family val="2"/>
      </rPr>
      <t>Rs.Cr.</t>
    </r>
  </si>
  <si>
    <r>
      <t>Cash </t>
    </r>
    <r>
      <rPr>
        <sz val="11"/>
        <color theme="0"/>
        <rFont val="Arial"/>
        <family val="2"/>
      </rPr>
      <t>Rs.Cr.</t>
    </r>
  </si>
  <si>
    <r>
      <t>Cash Beginning </t>
    </r>
    <r>
      <rPr>
        <sz val="11"/>
        <color theme="0"/>
        <rFont val="Arial"/>
        <family val="2"/>
      </rPr>
      <t>Rs.Cr.</t>
    </r>
  </si>
  <si>
    <r>
      <t>OP 12M </t>
    </r>
    <r>
      <rPr>
        <sz val="11"/>
        <color theme="0"/>
        <rFont val="Arial"/>
        <family val="2"/>
      </rPr>
      <t>Rs.Cr.</t>
    </r>
  </si>
  <si>
    <r>
      <t>Tax 12M </t>
    </r>
    <r>
      <rPr>
        <sz val="11"/>
        <color theme="0"/>
        <rFont val="Arial"/>
        <family val="2"/>
      </rPr>
      <t>Rs.Cr.</t>
    </r>
  </si>
  <si>
    <r>
      <t>Current Tax 12M </t>
    </r>
    <r>
      <rPr>
        <sz val="11"/>
        <color theme="0"/>
        <rFont val="Arial"/>
        <family val="2"/>
      </rPr>
      <t>Rs.Cr.</t>
    </r>
  </si>
  <si>
    <t>Tax Rate</t>
  </si>
  <si>
    <t>Market Data</t>
  </si>
  <si>
    <t>Financial Data</t>
  </si>
  <si>
    <t>Valuations</t>
  </si>
  <si>
    <t>Company Name</t>
  </si>
  <si>
    <t>All No.s In Cr.</t>
  </si>
  <si>
    <t>Price (Rs)</t>
  </si>
  <si>
    <t>Shares (MM.)</t>
  </si>
  <si>
    <t>Market Cap.</t>
  </si>
  <si>
    <t>Cash &amp; Equivalent</t>
  </si>
  <si>
    <t>EV</t>
  </si>
  <si>
    <t>Sales</t>
  </si>
  <si>
    <t>Earning</t>
  </si>
  <si>
    <t>EV/Sales</t>
  </si>
  <si>
    <t>EV/EBITDA</t>
  </si>
  <si>
    <t>Average</t>
  </si>
  <si>
    <t>Median</t>
  </si>
  <si>
    <t>Metric</t>
  </si>
  <si>
    <t>Comps</t>
  </si>
  <si>
    <t>Net Debt</t>
  </si>
  <si>
    <t>Equity Value</t>
  </si>
  <si>
    <t>Shares</t>
  </si>
  <si>
    <t>Share Price</t>
  </si>
  <si>
    <t>Comparable Company Beta</t>
  </si>
  <si>
    <t>Total Debt</t>
  </si>
  <si>
    <t>Debt/Equity</t>
  </si>
  <si>
    <t>Debt/Capital</t>
  </si>
  <si>
    <t>Levered Beta</t>
  </si>
  <si>
    <t>Unlevered Beta</t>
  </si>
  <si>
    <t>WACC Calculation</t>
  </si>
  <si>
    <t>Target Capital Structure</t>
  </si>
  <si>
    <t>Proportion of Debt</t>
  </si>
  <si>
    <t>Proportion of Equity</t>
  </si>
  <si>
    <t>Current Capital Structure</t>
  </si>
  <si>
    <t>Market Cap</t>
  </si>
  <si>
    <t>Cost of Debt</t>
  </si>
  <si>
    <t>Pre-Tax Cost of Debt</t>
  </si>
  <si>
    <t>After Tax Cost of Debt</t>
  </si>
  <si>
    <t>Cost of Equity</t>
  </si>
  <si>
    <t>Risk Free Rate (Rf)</t>
  </si>
  <si>
    <t>Equity Market Return</t>
  </si>
  <si>
    <t>Equity Risk Premium (ERP)</t>
  </si>
  <si>
    <t xml:space="preserve">Levered Market Beta </t>
  </si>
  <si>
    <t>WACC</t>
  </si>
  <si>
    <t xml:space="preserve">Index </t>
  </si>
  <si>
    <t>Date</t>
  </si>
  <si>
    <t>Close Price</t>
  </si>
  <si>
    <t>Nifty 50 Tri</t>
  </si>
  <si>
    <t>Years</t>
  </si>
  <si>
    <t>Market Return</t>
  </si>
  <si>
    <t>% Change</t>
  </si>
  <si>
    <t xml:space="preserve">Stock </t>
  </si>
  <si>
    <t>Monthly</t>
  </si>
  <si>
    <t>52W High</t>
  </si>
  <si>
    <t>52W Low</t>
  </si>
  <si>
    <t>Beta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</si>
  <si>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</si>
  <si>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</si>
  <si>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</si>
  <si>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</si>
  <si>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</si>
  <si>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</si>
  <si>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</si>
  <si>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</si>
  <si>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</si>
  <si>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</si>
  <si>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</si>
  <si>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</si>
  <si>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</si>
  <si>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</si>
  <si>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</si>
  <si>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</si>
  <si>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</si>
  <si>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</si>
  <si>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</si>
  <si>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</si>
  <si>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</si>
  <si>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</si>
  <si>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</si>
  <si>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</si>
  <si>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</si>
  <si>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DCF Model</t>
  </si>
  <si>
    <t>Transaction Date</t>
  </si>
  <si>
    <t>EV/EBITDA Multiple</t>
  </si>
  <si>
    <t>Perpetual Growth Rate</t>
  </si>
  <si>
    <t>Discount Rate (WACC)</t>
  </si>
  <si>
    <t>Share Outstanding (Million)</t>
  </si>
  <si>
    <t>Current Share Price (Rs)</t>
  </si>
  <si>
    <t xml:space="preserve">Discounted Cash Flow </t>
  </si>
  <si>
    <t>EBIT</t>
  </si>
  <si>
    <t>Less: Cash Tax</t>
  </si>
  <si>
    <t>NOPAT</t>
  </si>
  <si>
    <t>Add: Depreciation &amp; Amortization</t>
  </si>
  <si>
    <t>Less: Capex</t>
  </si>
  <si>
    <t>Less: Change in Net WC</t>
  </si>
  <si>
    <t xml:space="preserve"> Free Cash Flow to Firm (FCFF)</t>
  </si>
  <si>
    <t>Terminal Value</t>
  </si>
  <si>
    <t>Present Value Factor</t>
  </si>
  <si>
    <t>PV of Free Cash Flow</t>
  </si>
  <si>
    <t>PV of Terminal CF</t>
  </si>
  <si>
    <t>Perp. Growth</t>
  </si>
  <si>
    <t>Terminal Value (Average)</t>
  </si>
  <si>
    <t>Intrinsic Value</t>
  </si>
  <si>
    <t>Enterprise Value</t>
  </si>
  <si>
    <t>Less: Non Controlling Interest</t>
  </si>
  <si>
    <t>Add: Cash &amp; Equivalent</t>
  </si>
  <si>
    <t>Less: Debt</t>
  </si>
  <si>
    <t>Equity Value/Share</t>
  </si>
  <si>
    <t>Market Value</t>
  </si>
  <si>
    <t>Add: Debt</t>
  </si>
  <si>
    <t>Less: Cash &amp; Equivalent</t>
  </si>
  <si>
    <t>Rate of Return</t>
  </si>
  <si>
    <t>Current Price</t>
  </si>
  <si>
    <t>Target Price</t>
  </si>
  <si>
    <t>Upside/downside potential %</t>
  </si>
  <si>
    <t>Sensitivity Analysis</t>
  </si>
  <si>
    <t>Sensitivity - Intrinsic Value (Rs/Share)</t>
  </si>
  <si>
    <t>Exit Multiple</t>
  </si>
  <si>
    <t>Discount Rate</t>
  </si>
  <si>
    <t>Profitability Ratios</t>
  </si>
  <si>
    <t>Gross Margin</t>
  </si>
  <si>
    <t>EBITDA Margin</t>
  </si>
  <si>
    <t>Operating Margin</t>
  </si>
  <si>
    <t>Pretax Margin</t>
  </si>
  <si>
    <t>Effective Tax rate</t>
  </si>
  <si>
    <t>Net Margin</t>
  </si>
  <si>
    <t>DuPont/Earning Power</t>
  </si>
  <si>
    <t>Asset Turnover</t>
  </si>
  <si>
    <t>Liquidity Ratio</t>
  </si>
  <si>
    <t>Quick ratio</t>
  </si>
  <si>
    <t>Current ratio</t>
  </si>
  <si>
    <t>Cash Cycle (Days)</t>
  </si>
  <si>
    <t>Leverage</t>
  </si>
  <si>
    <t>Asset/Equity</t>
  </si>
  <si>
    <t>Operating</t>
  </si>
  <si>
    <t>A/R Turnover</t>
  </si>
  <si>
    <t>Avg. A/R Days</t>
  </si>
  <si>
    <t>Inventory Turnover</t>
  </si>
  <si>
    <t>Avg. Inventory Days</t>
  </si>
  <si>
    <t>A/P Turnover</t>
  </si>
  <si>
    <t>Avg. A/P Days</t>
  </si>
  <si>
    <t>Fixed Asset Turnover</t>
  </si>
  <si>
    <t>ROIC</t>
  </si>
  <si>
    <t>ISIN Code</t>
  </si>
  <si>
    <t>Sector Name</t>
  </si>
  <si>
    <t>Industry</t>
  </si>
  <si>
    <t>Basic Industry</t>
  </si>
  <si>
    <t>Exchange Name</t>
  </si>
  <si>
    <t>Website</t>
  </si>
  <si>
    <t>Company Description</t>
  </si>
  <si>
    <t>Current Market Price</t>
  </si>
  <si>
    <t>INE030A01027</t>
  </si>
  <si>
    <t>FMCG</t>
  </si>
  <si>
    <t>Consumer Staples</t>
  </si>
  <si>
    <t>Personal Products</t>
  </si>
  <si>
    <t>NSE: HINDUNILVR , BSE Code: 500696</t>
  </si>
  <si>
    <t>https://www.hul.co.in/</t>
  </si>
  <si>
    <t>Hindustan Unilever Limited (HUL) is a leading FMCG company in India.
It is a subsidiary of Unilever and operates across various consumer categories.
The company offers products in beauty, personal care, home care, foods, and beverages.
HUL owns several well-known brands such as Dove, Lux, Surf Excel, and Horlicks.
It has a strong presence across India with a wide distribution network.</t>
  </si>
  <si>
    <t>Company data</t>
  </si>
  <si>
    <t>Particulars</t>
  </si>
  <si>
    <t>No of Outstanding shares</t>
  </si>
  <si>
    <t>Nos</t>
  </si>
  <si>
    <t>Face Value per share</t>
  </si>
  <si>
    <t>Rs.</t>
  </si>
  <si>
    <t>Market Capitalisation</t>
  </si>
  <si>
    <t>Assumptions</t>
  </si>
  <si>
    <t>Increase in Revenue  growth rate</t>
  </si>
  <si>
    <t>Perpetual Growth rate</t>
  </si>
  <si>
    <t>5 year Bond yield rate</t>
  </si>
  <si>
    <t>Interest rate</t>
  </si>
  <si>
    <t>Inputs</t>
  </si>
  <si>
    <t>Historical Financial Statement</t>
  </si>
  <si>
    <t>Calculation &amp; Analysis</t>
  </si>
  <si>
    <t>Debt Schedule</t>
  </si>
  <si>
    <t>Ratio Analysis</t>
  </si>
  <si>
    <t>Outputs</t>
  </si>
  <si>
    <t>Comparables Analysis</t>
  </si>
  <si>
    <t>Interpretation</t>
  </si>
  <si>
    <t>A/P Days remain around 131 days, indicating extended supplier payment periods</t>
  </si>
  <si>
    <t>Gross margin fell from 50.9% in 2022 to 47.6% in 2023, then recovered to 51.9% in 2024. It is projected to stabilize at around 50.6% from 2026–2036, indicating stable gross profitability.</t>
  </si>
  <si>
    <t>EBITDA margin declined from 24.5% in 2022 to 23.4% in 2023, then remained stable around 23.7%, indicating consistent operating profitability.</t>
  </si>
  <si>
    <t>Operating margin fell from 22.4% in 2022 to 21.3% in 2026, but is projected to gradually improve to 22.9% by 2036, indicating improving operating efficiency</t>
  </si>
  <si>
    <t>Improved from 22.6% in 2022 to 23.6% by 2036, indicating gradual improvement in profitability before tax.</t>
  </si>
  <si>
    <t>Fluctuated between 22.9%–26.2% historically and is projected to remain stable at 24.8%, indicating a consistent tax burden.</t>
  </si>
  <si>
    <t>Remained around 16.5%–17.0% historically and is projected to gradually increase to 17.7% by 2036, indicating improving overall profitability.</t>
  </si>
  <si>
    <t>Asset turnover is projected to improve from 0.8x to 1.3x, indicating that the company is expected to use its assets more efficiently to generate revenue over the forecast period.</t>
  </si>
  <si>
    <t>Declined to 0.4x in 2026 but is projected to improve to 0.9x by 2036, indicating strengthening short-term liquidity.</t>
  </si>
  <si>
    <t>Fell to 1.0x in 2026 and is projected to rise to 1.4x by 2036, indicating improved ability to meet short-term obligations.</t>
  </si>
  <si>
    <t>Remains negative at around -59.8 days throughout the forecast period, indicating the company receives cash from operations before paying its suppliers.</t>
  </si>
  <si>
    <t>Increased from 1.44x to 1.68x, indicating a gradual increase in asset utilization relative to shareholders’ equity.</t>
  </si>
  <si>
    <t>Remains very low at around 0.03x, indicating low financial leverage and limited reliance on debt financing.</t>
  </si>
  <si>
    <t>Declines initially but stabilizes around 20.3x, indicating consistent collection efficiency.</t>
  </si>
  <si>
    <t>Remains stable at around 19 days, indicating efficient receivables collection.</t>
  </si>
  <si>
    <t>Remains around 7.1x, indicating stable inventory management.</t>
  </si>
  <si>
    <t>Stabilizes at around 53 days, showing consistent inventory holding.</t>
  </si>
  <si>
    <t>A/P turnover declined from 3.4x to 2.6x, then stabilized at around 2.9x, indicating a consistent supplier payment pattern during the forecast period.</t>
  </si>
  <si>
    <t>Improves from 8.7x to 16.8x, indicating significantly better utilization of fixed assets.</t>
  </si>
  <si>
    <t>Increases from 24% to 46%, indicating strong improvement in returns generated on invested capital.</t>
  </si>
  <si>
    <t>Shares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</si>
</sst>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 * #,##0.00_ ;_ * \-#,##0.00_ ;_ * &quot;-&quot;??_ ;_ @_ "/>
    <numFmt numFmtId="164" formatCode="0&quot;A&quot;"/>
    <numFmt numFmtId="165" formatCode="#,##0;\(#,##0\);0"/>
    <numFmt numFmtId="166" formatCode="#,##0.00;\(#,##0.00\);\-"/>
    <numFmt numFmtId="167" formatCode="#,##0.0;\(#,##0.0\);\-"/>
    <numFmt numFmtId="168" formatCode="#,##0;\(#,##0\);\-"/>
    <numFmt numFmtId="169" formatCode="0.0%"/>
    <numFmt numFmtId="170" formatCode="0.00\x"/>
    <numFmt numFmtId="171" formatCode="0&quot;E&quot;"/>
    <numFmt numFmtId="172" formatCode="0.0\X"/>
    <numFmt numFmtId="173" formatCode="0.0"/>
    <numFmt numFmtId="174" formatCode="0.0&quot;x&quot;"/>
    <numFmt numFmtId="175" formatCode="0.0\x"/>
    <numFmt numFmtId="176" formatCode="#,##0;\(#,##0\)"/>
    <numFmt numFmtId="177" formatCode="#,##0.000;\(#,##0.000\);\-"/>
    <numFmt numFmtId="178" formatCode="&quot;₹&quot;\ #,##0.00"/>
    <numFmt numFmtId="179" formatCode="_ * #,##0_ ;_ * \-#,##0_ ;_ * &quot;-&quot;??_ ;_ @_ "/>
  </numFmts>
  <fonts count="3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8"/>
      <color theme="1"/>
      <name val="Calibri"/>
      <family val="2"/>
    </font>
    <font>
      <b/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22"/>
      <color theme="0"/>
      <name val="Calibri"/>
      <family val="2"/>
    </font>
    <font>
      <b/>
      <sz val="10"/>
      <color theme="0"/>
      <name val="Calibri"/>
      <family val="2"/>
    </font>
    <font>
      <b/>
      <sz val="14"/>
      <color theme="0"/>
      <name val="Calibri"/>
      <family val="2"/>
    </font>
    <font>
      <b/>
      <sz val="12"/>
      <color theme="1"/>
      <name val="Calibri"/>
      <family val="2"/>
    </font>
    <font>
      <sz val="11"/>
      <color rgb="FF00B050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sz val="11"/>
      <color theme="0"/>
      <name val="Arial"/>
      <family val="2"/>
    </font>
    <font>
      <sz val="9"/>
      <color theme="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rgb="FF000000"/>
      <name val="Arial"/>
      <family val="2"/>
    </font>
    <font>
      <i/>
      <sz val="11"/>
      <color theme="1"/>
      <name val="Calibri"/>
      <family val="2"/>
    </font>
    <font>
      <i/>
      <sz val="10"/>
      <color theme="1"/>
      <name val="Calibri"/>
      <family val="2"/>
    </font>
    <font>
      <b/>
      <sz val="11"/>
      <color theme="0" tint="-4.9989318521683403E-2"/>
      <name val="Calibri"/>
      <family val="2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1"/>
      <color theme="1"/>
      <name val="Calibri"/>
      <family val="2"/>
      <scheme val="minor"/>
    </font>
    <font>
      <b/>
      <sz val="11"/>
      <color theme="0"/>
      <name val="Calibri Light"/>
      <family val="1"/>
      <scheme val="maj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27" fillId="0" borderId="0"/>
    <xf numFmtId="0" fontId="29" fillId="0" borderId="0" applyNumberFormat="0" applyFill="0" applyBorder="0" applyAlignment="0" applyProtection="0"/>
    <xf numFmtId="43" fontId="27" fillId="0" borderId="0" applyFont="0" applyFill="0" applyBorder="0" applyAlignment="0" applyProtection="0"/>
  </cellStyleXfs>
  <cellXfs count="176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5" fillId="0" borderId="0" xfId="0" applyFont="1"/>
    <xf numFmtId="0" fontId="3" fillId="0" borderId="0" xfId="0" applyFont="1"/>
    <xf numFmtId="3" fontId="0" fillId="0" borderId="0" xfId="0" applyNumberFormat="1"/>
    <xf numFmtId="0" fontId="6" fillId="0" borderId="0" xfId="0" applyFont="1"/>
    <xf numFmtId="0" fontId="3" fillId="0" borderId="1" xfId="0" applyFont="1" applyBorder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3" fillId="0" borderId="2" xfId="0" applyFont="1" applyBorder="1"/>
    <xf numFmtId="0" fontId="0" fillId="0" borderId="2" xfId="0" applyBorder="1"/>
    <xf numFmtId="3" fontId="3" fillId="0" borderId="2" xfId="0" applyNumberFormat="1" applyFont="1" applyBorder="1"/>
    <xf numFmtId="0" fontId="7" fillId="0" borderId="0" xfId="0" applyFont="1"/>
    <xf numFmtId="0" fontId="8" fillId="2" borderId="0" xfId="0" applyFont="1" applyFill="1"/>
    <xf numFmtId="0" fontId="9" fillId="2" borderId="0" xfId="0" applyFont="1" applyFill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/>
    <xf numFmtId="0" fontId="10" fillId="2" borderId="0" xfId="0" applyFont="1" applyFill="1"/>
    <xf numFmtId="0" fontId="11" fillId="0" borderId="0" xfId="0" applyFont="1"/>
    <xf numFmtId="165" fontId="3" fillId="0" borderId="1" xfId="0" applyNumberFormat="1" applyFont="1" applyBorder="1"/>
    <xf numFmtId="166" fontId="12" fillId="0" borderId="0" xfId="1" applyNumberFormat="1" applyFont="1" applyBorder="1"/>
    <xf numFmtId="168" fontId="12" fillId="0" borderId="0" xfId="1" applyNumberFormat="1" applyFont="1" applyBorder="1"/>
    <xf numFmtId="166" fontId="3" fillId="0" borderId="1" xfId="1" applyNumberFormat="1" applyFont="1" applyBorder="1"/>
    <xf numFmtId="168" fontId="3" fillId="0" borderId="1" xfId="1" applyNumberFormat="1" applyFont="1" applyBorder="1"/>
    <xf numFmtId="0" fontId="0" fillId="0" borderId="0" xfId="0" applyAlignment="1">
      <alignment vertical="top"/>
    </xf>
    <xf numFmtId="166" fontId="3" fillId="0" borderId="2" xfId="1" applyNumberFormat="1" applyFont="1" applyBorder="1"/>
    <xf numFmtId="4" fontId="0" fillId="0" borderId="0" xfId="0" applyNumberFormat="1"/>
    <xf numFmtId="168" fontId="12" fillId="4" borderId="0" xfId="0" applyNumberFormat="1" applyFont="1" applyFill="1"/>
    <xf numFmtId="168" fontId="0" fillId="4" borderId="0" xfId="0" applyNumberFormat="1" applyFill="1"/>
    <xf numFmtId="166" fontId="3" fillId="4" borderId="2" xfId="0" applyNumberFormat="1" applyFont="1" applyFill="1" applyBorder="1"/>
    <xf numFmtId="167" fontId="12" fillId="4" borderId="0" xfId="0" applyNumberFormat="1" applyFont="1" applyFill="1"/>
    <xf numFmtId="0" fontId="3" fillId="4" borderId="0" xfId="0" applyFont="1" applyFill="1"/>
    <xf numFmtId="166" fontId="1" fillId="0" borderId="0" xfId="1" applyNumberFormat="1" applyFont="1" applyBorder="1"/>
    <xf numFmtId="169" fontId="0" fillId="0" borderId="0" xfId="2" applyNumberFormat="1" applyFont="1"/>
    <xf numFmtId="10" fontId="0" fillId="0" borderId="0" xfId="2" applyNumberFormat="1" applyFont="1"/>
    <xf numFmtId="166" fontId="1" fillId="4" borderId="0" xfId="1" applyNumberFormat="1" applyFont="1" applyFill="1" applyBorder="1"/>
    <xf numFmtId="1" fontId="0" fillId="0" borderId="0" xfId="0" applyNumberFormat="1"/>
    <xf numFmtId="170" fontId="0" fillId="0" borderId="0" xfId="0" applyNumberFormat="1"/>
    <xf numFmtId="166" fontId="0" fillId="0" borderId="0" xfId="0" applyNumberFormat="1"/>
    <xf numFmtId="168" fontId="0" fillId="0" borderId="0" xfId="0" applyNumberFormat="1"/>
    <xf numFmtId="166" fontId="3" fillId="0" borderId="1" xfId="0" applyNumberFormat="1" applyFont="1" applyBorder="1"/>
    <xf numFmtId="0" fontId="4" fillId="2" borderId="0" xfId="0" applyFont="1" applyFill="1" applyAlignment="1">
      <alignment horizontal="center"/>
    </xf>
    <xf numFmtId="171" fontId="2" fillId="2" borderId="0" xfId="0" applyNumberFormat="1" applyFont="1" applyFill="1"/>
    <xf numFmtId="0" fontId="3" fillId="0" borderId="3" xfId="0" applyFont="1" applyBorder="1"/>
    <xf numFmtId="0" fontId="0" fillId="0" borderId="3" xfId="0" applyBorder="1"/>
    <xf numFmtId="169" fontId="13" fillId="0" borderId="0" xfId="0" applyNumberFormat="1" applyFont="1"/>
    <xf numFmtId="169" fontId="0" fillId="0" borderId="0" xfId="0" applyNumberFormat="1"/>
    <xf numFmtId="0" fontId="0" fillId="3" borderId="4" xfId="0" applyFill="1" applyBorder="1"/>
    <xf numFmtId="0" fontId="14" fillId="0" borderId="0" xfId="0" applyFont="1"/>
    <xf numFmtId="10" fontId="0" fillId="5" borderId="0" xfId="0" applyNumberFormat="1" applyFill="1"/>
    <xf numFmtId="1" fontId="0" fillId="5" borderId="0" xfId="0" applyNumberFormat="1" applyFill="1"/>
    <xf numFmtId="170" fontId="0" fillId="5" borderId="0" xfId="0" applyNumberFormat="1" applyFill="1"/>
    <xf numFmtId="166" fontId="0" fillId="5" borderId="0" xfId="1" applyNumberFormat="1" applyFont="1" applyFill="1" applyBorder="1"/>
    <xf numFmtId="166" fontId="3" fillId="5" borderId="1" xfId="1" applyNumberFormat="1" applyFont="1" applyFill="1" applyBorder="1"/>
    <xf numFmtId="0" fontId="0" fillId="5" borderId="0" xfId="0" applyFill="1"/>
    <xf numFmtId="166" fontId="3" fillId="5" borderId="1" xfId="0" applyNumberFormat="1" applyFont="1" applyFill="1" applyBorder="1"/>
    <xf numFmtId="166" fontId="0" fillId="5" borderId="0" xfId="0" applyNumberFormat="1" applyFill="1"/>
    <xf numFmtId="168" fontId="0" fillId="5" borderId="0" xfId="0" applyNumberFormat="1" applyFill="1"/>
    <xf numFmtId="166" fontId="3" fillId="5" borderId="2" xfId="1" applyNumberFormat="1" applyFont="1" applyFill="1" applyBorder="1"/>
    <xf numFmtId="168" fontId="12" fillId="5" borderId="0" xfId="0" applyNumberFormat="1" applyFont="1" applyFill="1"/>
    <xf numFmtId="167" fontId="0" fillId="5" borderId="0" xfId="0" applyNumberFormat="1" applyFill="1"/>
    <xf numFmtId="166" fontId="3" fillId="5" borderId="2" xfId="0" applyNumberFormat="1" applyFont="1" applyFill="1" applyBorder="1"/>
    <xf numFmtId="166" fontId="0" fillId="0" borderId="0" xfId="1" applyNumberFormat="1" applyFont="1" applyBorder="1"/>
    <xf numFmtId="9" fontId="0" fillId="0" borderId="0" xfId="0" applyNumberFormat="1"/>
    <xf numFmtId="0" fontId="18" fillId="2" borderId="0" xfId="0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172" fontId="0" fillId="0" borderId="0" xfId="0" applyNumberFormat="1"/>
    <xf numFmtId="2" fontId="0" fillId="0" borderId="0" xfId="0" applyNumberFormat="1"/>
    <xf numFmtId="173" fontId="0" fillId="0" borderId="0" xfId="0" applyNumberFormat="1"/>
    <xf numFmtId="174" fontId="2" fillId="2" borderId="0" xfId="0" applyNumberFormat="1" applyFont="1" applyFill="1"/>
    <xf numFmtId="174" fontId="0" fillId="0" borderId="0" xfId="0" applyNumberFormat="1"/>
    <xf numFmtId="167" fontId="0" fillId="0" borderId="0" xfId="0" applyNumberFormat="1"/>
    <xf numFmtId="9" fontId="0" fillId="0" borderId="0" xfId="2" applyFont="1"/>
    <xf numFmtId="0" fontId="3" fillId="6" borderId="0" xfId="0" applyFont="1" applyFill="1"/>
    <xf numFmtId="0" fontId="0" fillId="6" borderId="0" xfId="0" applyFill="1"/>
    <xf numFmtId="169" fontId="0" fillId="6" borderId="0" xfId="0" applyNumberFormat="1" applyFill="1"/>
    <xf numFmtId="2" fontId="0" fillId="6" borderId="0" xfId="0" applyNumberFormat="1" applyFill="1"/>
    <xf numFmtId="10" fontId="0" fillId="6" borderId="0" xfId="2" applyNumberFormat="1" applyFont="1" applyFill="1"/>
    <xf numFmtId="9" fontId="0" fillId="6" borderId="0" xfId="2" applyFont="1" applyFill="1"/>
    <xf numFmtId="169" fontId="12" fillId="0" borderId="0" xfId="2" applyNumberFormat="1" applyFont="1"/>
    <xf numFmtId="169" fontId="0" fillId="0" borderId="1" xfId="0" applyNumberFormat="1" applyBorder="1"/>
    <xf numFmtId="10" fontId="3" fillId="0" borderId="1" xfId="2" applyNumberFormat="1" applyFont="1" applyBorder="1"/>
    <xf numFmtId="10" fontId="3" fillId="0" borderId="2" xfId="2" applyNumberFormat="1" applyFont="1" applyBorder="1"/>
    <xf numFmtId="15" fontId="0" fillId="0" borderId="0" xfId="0" applyNumberFormat="1"/>
    <xf numFmtId="1" fontId="3" fillId="0" borderId="5" xfId="0" applyNumberFormat="1" applyFont="1" applyBorder="1"/>
    <xf numFmtId="1" fontId="3" fillId="0" borderId="0" xfId="0" applyNumberFormat="1" applyFont="1"/>
    <xf numFmtId="169" fontId="3" fillId="0" borderId="5" xfId="2" applyNumberFormat="1" applyFont="1" applyBorder="1"/>
    <xf numFmtId="0" fontId="15" fillId="4" borderId="0" xfId="0" applyFont="1" applyFill="1"/>
    <xf numFmtId="0" fontId="0" fillId="4" borderId="0" xfId="0" applyFill="1"/>
    <xf numFmtId="17" fontId="0" fillId="0" borderId="0" xfId="0" applyNumberFormat="1"/>
    <xf numFmtId="4" fontId="21" fillId="0" borderId="0" xfId="0" applyNumberFormat="1" applyFont="1"/>
    <xf numFmtId="0" fontId="0" fillId="0" borderId="5" xfId="0" applyBorder="1"/>
    <xf numFmtId="17" fontId="3" fillId="0" borderId="0" xfId="0" applyNumberFormat="1" applyFont="1"/>
    <xf numFmtId="2" fontId="0" fillId="0" borderId="5" xfId="0" applyNumberFormat="1" applyBorder="1"/>
    <xf numFmtId="0" fontId="0" fillId="0" borderId="6" xfId="0" applyBorder="1"/>
    <xf numFmtId="0" fontId="22" fillId="0" borderId="7" xfId="0" applyFont="1" applyBorder="1" applyAlignment="1">
      <alignment horizontal="center"/>
    </xf>
    <xf numFmtId="0" fontId="22" fillId="0" borderId="7" xfId="0" applyFont="1" applyBorder="1" applyAlignment="1">
      <alignment horizontal="centerContinuous"/>
    </xf>
    <xf numFmtId="14" fontId="0" fillId="0" borderId="0" xfId="0" applyNumberFormat="1"/>
    <xf numFmtId="175" fontId="12" fillId="0" borderId="0" xfId="0" applyNumberFormat="1" applyFont="1"/>
    <xf numFmtId="10" fontId="12" fillId="0" borderId="0" xfId="0" applyNumberFormat="1" applyFont="1"/>
    <xf numFmtId="173" fontId="12" fillId="0" borderId="0" xfId="0" applyNumberFormat="1" applyFont="1"/>
    <xf numFmtId="0" fontId="12" fillId="0" borderId="0" xfId="0" applyFont="1"/>
    <xf numFmtId="168" fontId="3" fillId="4" borderId="0" xfId="0" applyNumberFormat="1" applyFont="1" applyFill="1"/>
    <xf numFmtId="171" fontId="3" fillId="0" borderId="0" xfId="0" applyNumberFormat="1" applyFont="1"/>
    <xf numFmtId="176" fontId="23" fillId="4" borderId="0" xfId="0" applyNumberFormat="1" applyFont="1" applyFill="1"/>
    <xf numFmtId="168" fontId="23" fillId="4" borderId="0" xfId="0" applyNumberFormat="1" applyFont="1" applyFill="1"/>
    <xf numFmtId="168" fontId="3" fillId="4" borderId="1" xfId="0" applyNumberFormat="1" applyFont="1" applyFill="1" applyBorder="1"/>
    <xf numFmtId="168" fontId="0" fillId="4" borderId="3" xfId="0" applyNumberFormat="1" applyFill="1" applyBorder="1"/>
    <xf numFmtId="168" fontId="0" fillId="5" borderId="2" xfId="0" applyNumberFormat="1" applyFill="1" applyBorder="1"/>
    <xf numFmtId="177" fontId="3" fillId="4" borderId="2" xfId="0" applyNumberFormat="1" applyFont="1" applyFill="1" applyBorder="1"/>
    <xf numFmtId="168" fontId="0" fillId="0" borderId="1" xfId="0" applyNumberFormat="1" applyBorder="1"/>
    <xf numFmtId="168" fontId="3" fillId="5" borderId="0" xfId="0" applyNumberFormat="1" applyFont="1" applyFill="1"/>
    <xf numFmtId="168" fontId="3" fillId="4" borderId="3" xfId="0" applyNumberFormat="1" applyFont="1" applyFill="1" applyBorder="1"/>
    <xf numFmtId="168" fontId="0" fillId="4" borderId="2" xfId="0" applyNumberFormat="1" applyFill="1" applyBorder="1"/>
    <xf numFmtId="169" fontId="0" fillId="4" borderId="0" xfId="2" applyNumberFormat="1" applyFont="1" applyFill="1"/>
    <xf numFmtId="168" fontId="24" fillId="0" borderId="8" xfId="0" applyNumberFormat="1" applyFont="1" applyBorder="1"/>
    <xf numFmtId="174" fontId="3" fillId="4" borderId="0" xfId="0" applyNumberFormat="1" applyFont="1" applyFill="1"/>
    <xf numFmtId="169" fontId="3" fillId="4" borderId="8" xfId="2" applyNumberFormat="1" applyFont="1" applyFill="1" applyBorder="1"/>
    <xf numFmtId="168" fontId="0" fillId="6" borderId="0" xfId="0" applyNumberFormat="1" applyFill="1"/>
    <xf numFmtId="10" fontId="3" fillId="4" borderId="8" xfId="2" applyNumberFormat="1" applyFont="1" applyFill="1" applyBorder="1"/>
    <xf numFmtId="168" fontId="3" fillId="3" borderId="0" xfId="0" applyNumberFormat="1" applyFont="1" applyFill="1"/>
    <xf numFmtId="0" fontId="0" fillId="7" borderId="0" xfId="0" applyFill="1"/>
    <xf numFmtId="0" fontId="26" fillId="0" borderId="0" xfId="0" applyFont="1" applyAlignment="1">
      <alignment vertical="center"/>
    </xf>
    <xf numFmtId="0" fontId="25" fillId="7" borderId="0" xfId="0" applyFont="1" applyFill="1" applyAlignment="1">
      <alignment vertical="center"/>
    </xf>
    <xf numFmtId="0" fontId="28" fillId="2" borderId="5" xfId="4" applyFont="1" applyFill="1" applyBorder="1"/>
    <xf numFmtId="0" fontId="25" fillId="0" borderId="9" xfId="4" applyFont="1" applyBorder="1" applyAlignment="1">
      <alignment horizontal="left"/>
    </xf>
    <xf numFmtId="0" fontId="25" fillId="0" borderId="2" xfId="4" applyFont="1" applyBorder="1" applyAlignment="1">
      <alignment horizontal="left"/>
    </xf>
    <xf numFmtId="0" fontId="25" fillId="0" borderId="10" xfId="4" applyFont="1" applyBorder="1" applyAlignment="1">
      <alignment horizontal="left"/>
    </xf>
    <xf numFmtId="0" fontId="28" fillId="2" borderId="5" xfId="4" applyFont="1" applyFill="1" applyBorder="1" applyAlignment="1">
      <alignment vertical="center"/>
    </xf>
    <xf numFmtId="0" fontId="31" fillId="0" borderId="9" xfId="4" applyFont="1" applyBorder="1" applyAlignment="1">
      <alignment horizontal="center"/>
    </xf>
    <xf numFmtId="0" fontId="31" fillId="0" borderId="2" xfId="4" applyFont="1" applyBorder="1" applyAlignment="1">
      <alignment horizontal="center"/>
    </xf>
    <xf numFmtId="0" fontId="31" fillId="0" borderId="10" xfId="4" applyFont="1" applyBorder="1" applyAlignment="1">
      <alignment horizontal="center"/>
    </xf>
    <xf numFmtId="0" fontId="31" fillId="0" borderId="11" xfId="4" applyFont="1" applyBorder="1"/>
    <xf numFmtId="0" fontId="32" fillId="0" borderId="0" xfId="4" applyFont="1" applyAlignment="1">
      <alignment horizontal="center"/>
    </xf>
    <xf numFmtId="179" fontId="32" fillId="0" borderId="8" xfId="6" applyNumberFormat="1" applyFont="1" applyBorder="1"/>
    <xf numFmtId="178" fontId="32" fillId="0" borderId="8" xfId="6" applyNumberFormat="1" applyFont="1" applyBorder="1"/>
    <xf numFmtId="0" fontId="31" fillId="0" borderId="12" xfId="4" applyFont="1" applyBorder="1"/>
    <xf numFmtId="0" fontId="32" fillId="0" borderId="3" xfId="4" applyFont="1" applyBorder="1" applyAlignment="1">
      <alignment horizontal="center"/>
    </xf>
    <xf numFmtId="0" fontId="25" fillId="0" borderId="5" xfId="4" applyFont="1" applyBorder="1"/>
    <xf numFmtId="0" fontId="32" fillId="0" borderId="5" xfId="4" applyFont="1" applyBorder="1" applyAlignment="1">
      <alignment horizontal="center"/>
    </xf>
    <xf numFmtId="10" fontId="26" fillId="0" borderId="5" xfId="4" applyNumberFormat="1" applyFont="1" applyBorder="1"/>
    <xf numFmtId="10" fontId="27" fillId="0" borderId="5" xfId="4" applyNumberFormat="1" applyBorder="1"/>
    <xf numFmtId="3" fontId="0" fillId="0" borderId="13" xfId="0" applyNumberFormat="1" applyBorder="1"/>
    <xf numFmtId="0" fontId="25" fillId="0" borderId="5" xfId="4" applyFont="1" applyBorder="1" applyAlignment="1">
      <alignment horizontal="left" vertical="top"/>
    </xf>
    <xf numFmtId="0" fontId="3" fillId="5" borderId="0" xfId="0" applyFont="1" applyFill="1"/>
    <xf numFmtId="0" fontId="16" fillId="0" borderId="0" xfId="3"/>
    <xf numFmtId="169" fontId="0" fillId="5" borderId="0" xfId="2" applyNumberFormat="1" applyFont="1" applyFill="1"/>
    <xf numFmtId="173" fontId="0" fillId="5" borderId="0" xfId="0" applyNumberFormat="1" applyFill="1"/>
    <xf numFmtId="2" fontId="0" fillId="5" borderId="0" xfId="0" applyNumberFormat="1" applyFill="1"/>
    <xf numFmtId="9" fontId="0" fillId="5" borderId="0" xfId="2" applyFont="1" applyFill="1"/>
    <xf numFmtId="3" fontId="0" fillId="4" borderId="0" xfId="0" applyNumberFormat="1" applyFill="1"/>
    <xf numFmtId="3" fontId="3" fillId="4" borderId="1" xfId="0" applyNumberFormat="1" applyFont="1" applyFill="1" applyBorder="1"/>
    <xf numFmtId="3" fontId="3" fillId="4" borderId="0" xfId="0" applyNumberFormat="1" applyFont="1" applyFill="1"/>
    <xf numFmtId="3" fontId="3" fillId="4" borderId="2" xfId="0" applyNumberFormat="1" applyFont="1" applyFill="1" applyBorder="1"/>
    <xf numFmtId="0" fontId="3" fillId="4" borderId="1" xfId="0" applyFont="1" applyFill="1" applyBorder="1"/>
    <xf numFmtId="168" fontId="3" fillId="4" borderId="0" xfId="0" applyNumberFormat="1" applyFont="1" applyFill="1" applyAlignment="1">
      <alignment horizontal="right" textRotation="180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8" fontId="3" fillId="4" borderId="3" xfId="0" applyNumberFormat="1" applyFont="1" applyFill="1" applyBorder="1" applyAlignment="1">
      <alignment horizontal="center"/>
    </xf>
    <xf numFmtId="0" fontId="25" fillId="0" borderId="9" xfId="4" applyFont="1" applyBorder="1" applyAlignment="1">
      <alignment horizontal="left" wrapText="1"/>
    </xf>
    <xf numFmtId="0" fontId="25" fillId="0" borderId="2" xfId="4" applyFont="1" applyBorder="1" applyAlignment="1">
      <alignment horizontal="left" wrapText="1"/>
    </xf>
    <xf numFmtId="0" fontId="25" fillId="0" borderId="10" xfId="4" applyFont="1" applyBorder="1" applyAlignment="1">
      <alignment horizontal="left" wrapText="1"/>
    </xf>
    <xf numFmtId="178" fontId="25" fillId="0" borderId="9" xfId="4" applyNumberFormat="1" applyFont="1" applyBorder="1" applyAlignment="1">
      <alignment horizontal="center"/>
    </xf>
    <xf numFmtId="178" fontId="25" fillId="0" borderId="2" xfId="4" applyNumberFormat="1" applyFont="1" applyBorder="1" applyAlignment="1">
      <alignment horizontal="center"/>
    </xf>
    <xf numFmtId="178" fontId="25" fillId="0" borderId="10" xfId="4" applyNumberFormat="1" applyFont="1" applyBorder="1" applyAlignment="1">
      <alignment horizontal="center"/>
    </xf>
    <xf numFmtId="0" fontId="28" fillId="2" borderId="9" xfId="4" applyFont="1" applyFill="1" applyBorder="1" applyAlignment="1">
      <alignment horizontal="center"/>
    </xf>
    <xf numFmtId="0" fontId="28" fillId="2" borderId="2" xfId="4" applyFont="1" applyFill="1" applyBorder="1" applyAlignment="1">
      <alignment horizontal="center"/>
    </xf>
    <xf numFmtId="0" fontId="28" fillId="2" borderId="10" xfId="4" applyFont="1" applyFill="1" applyBorder="1" applyAlignment="1">
      <alignment horizontal="center"/>
    </xf>
    <xf numFmtId="0" fontId="25" fillId="0" borderId="5" xfId="4" applyFont="1" applyBorder="1" applyAlignment="1">
      <alignment horizontal="left"/>
    </xf>
    <xf numFmtId="0" fontId="16" fillId="0" borderId="9" xfId="3" applyBorder="1" applyAlignment="1">
      <alignment horizontal="left"/>
    </xf>
    <xf numFmtId="0" fontId="30" fillId="0" borderId="2" xfId="5" applyFont="1" applyBorder="1" applyAlignment="1">
      <alignment horizontal="left"/>
    </xf>
    <xf numFmtId="0" fontId="30" fillId="0" borderId="10" xfId="5" applyFont="1" applyBorder="1" applyAlignment="1">
      <alignment horizontal="left"/>
    </xf>
  </cellXfs>
  <cellStyles count="7">
    <cellStyle name="Comma" xfId="1" builtinId="3"/>
    <cellStyle name="Comma 2" xfId="6" xr:uid="{6DAA5755-0255-4753-93CF-B4400A4EB4DF}"/>
    <cellStyle name="Hyperlink" xfId="3" builtinId="8"/>
    <cellStyle name="Hyperlink 2" xfId="5" xr:uid="{9FAFA6F5-82B0-4991-ABB2-C6626A7FE883}"/>
    <cellStyle name="Normal" xfId="0" builtinId="0"/>
    <cellStyle name="Normal 2" xfId="4" xr:uid="{1776F9F7-9252-432E-BEDE-19B33F68C4F4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Lines="4" dropStyle="combo" dx="26" fmlaLink="$E$10" fmlaRange="Scenario!$B$8:$B$10" noThreeD="1" sel="1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5</xdr:row>
      <xdr:rowOff>158750</xdr:rowOff>
    </xdr:from>
    <xdr:to>
      <xdr:col>27</xdr:col>
      <xdr:colOff>526966</xdr:colOff>
      <xdr:row>21</xdr:row>
      <xdr:rowOff>111125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AB3655-0BA8-D78A-04FD-0B7D8F389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9250" y="1285875"/>
          <a:ext cx="12353841" cy="3000375"/>
        </a:xfrm>
        <a:prstGeom prst="rect">
          <a:avLst/>
        </a:prstGeom>
      </xdr:spPr>
    </xdr:pic>
    <xdr:clientData/>
  </xdr:twoCellAnchor>
  <xdr:twoCellAnchor editAs="oneCell">
    <xdr:from>
      <xdr:col>7</xdr:col>
      <xdr:colOff>365125</xdr:colOff>
      <xdr:row>21</xdr:row>
      <xdr:rowOff>63500</xdr:rowOff>
    </xdr:from>
    <xdr:to>
      <xdr:col>27</xdr:col>
      <xdr:colOff>476250</xdr:colOff>
      <xdr:row>34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9B960C-8F0E-E1FD-00B2-39F7B8E9B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26250" y="4238625"/>
          <a:ext cx="12176125" cy="2555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3657600</xdr:colOff>
          <xdr:row>8</xdr:row>
          <xdr:rowOff>160020</xdr:rowOff>
        </xdr:from>
        <xdr:to>
          <xdr:col>2</xdr:col>
          <xdr:colOff>586740</xdr:colOff>
          <xdr:row>10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hul.co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827E1-49BC-400C-963B-DE7B51F022FF}">
  <dimension ref="B2:J25"/>
  <sheetViews>
    <sheetView showGridLines="0" topLeftCell="A2" workbookViewId="0">
      <selection activeCell="B25" sqref="B25"/>
    </sheetView>
  </sheetViews>
  <sheetFormatPr defaultRowHeight="14.4" x14ac:dyDescent="0.3"/>
  <sheetData>
    <row r="2" spans="2:10" ht="28.8" x14ac:dyDescent="0.55000000000000004">
      <c r="B2" s="15" t="str">
        <f>Model!B2</f>
        <v>Hindustan Uniliver Ltd</v>
      </c>
      <c r="C2" s="2"/>
      <c r="D2" s="2"/>
      <c r="E2" s="2"/>
      <c r="F2" s="2"/>
      <c r="G2" s="2"/>
      <c r="H2" s="2"/>
      <c r="I2" s="2"/>
      <c r="J2" s="2"/>
    </row>
    <row r="3" spans="2:10" x14ac:dyDescent="0.3">
      <c r="B3" s="16" t="str">
        <f>Model!B3</f>
        <v>HINDUNILVR | 500696</v>
      </c>
      <c r="C3" s="2"/>
      <c r="D3" s="2"/>
      <c r="E3" s="17"/>
      <c r="F3" s="17"/>
      <c r="G3" s="17"/>
      <c r="H3" s="17"/>
      <c r="I3" s="43"/>
      <c r="J3" s="43"/>
    </row>
    <row r="4" spans="2:10" x14ac:dyDescent="0.3">
      <c r="B4" s="16" t="str">
        <f>Model!B4</f>
        <v>Financial Statement &amp; DCF Analysis</v>
      </c>
      <c r="C4" s="2"/>
      <c r="D4" s="2"/>
      <c r="E4" s="18"/>
      <c r="F4" s="18"/>
      <c r="G4" s="18"/>
      <c r="H4" s="18"/>
      <c r="I4" s="44"/>
      <c r="J4" s="44"/>
    </row>
    <row r="6" spans="2:10" x14ac:dyDescent="0.3">
      <c r="B6" s="148" t="s">
        <v>450</v>
      </c>
      <c r="C6" s="56"/>
      <c r="D6" s="56"/>
      <c r="E6" s="56"/>
      <c r="F6" s="56"/>
      <c r="G6" s="56"/>
      <c r="H6" s="56"/>
      <c r="I6" s="56"/>
      <c r="J6" s="56"/>
    </row>
    <row r="7" spans="2:10" x14ac:dyDescent="0.3">
      <c r="B7" s="149" t="s">
        <v>451</v>
      </c>
    </row>
    <row r="8" spans="2:10" x14ac:dyDescent="0.3">
      <c r="B8" s="149" t="s">
        <v>281</v>
      </c>
    </row>
    <row r="9" spans="2:10" x14ac:dyDescent="0.3">
      <c r="B9" s="149" t="s">
        <v>445</v>
      </c>
    </row>
    <row r="11" spans="2:10" x14ac:dyDescent="0.3">
      <c r="B11" s="148" t="s">
        <v>452</v>
      </c>
      <c r="C11" s="56"/>
      <c r="D11" s="56"/>
      <c r="E11" s="56"/>
      <c r="F11" s="56"/>
      <c r="G11" s="56"/>
      <c r="H11" s="56"/>
      <c r="I11" s="56"/>
      <c r="J11" s="56"/>
    </row>
    <row r="12" spans="2:10" x14ac:dyDescent="0.3">
      <c r="B12" s="149" t="s">
        <v>158</v>
      </c>
    </row>
    <row r="13" spans="2:10" x14ac:dyDescent="0.3">
      <c r="B13" s="149" t="s">
        <v>178</v>
      </c>
    </row>
    <row r="14" spans="2:10" x14ac:dyDescent="0.3">
      <c r="B14" s="149" t="s">
        <v>196</v>
      </c>
    </row>
    <row r="15" spans="2:10" x14ac:dyDescent="0.3">
      <c r="B15" s="149" t="s">
        <v>219</v>
      </c>
    </row>
    <row r="16" spans="2:10" x14ac:dyDescent="0.3">
      <c r="B16" s="149" t="s">
        <v>241</v>
      </c>
    </row>
    <row r="17" spans="2:10" x14ac:dyDescent="0.3">
      <c r="B17" s="149" t="s">
        <v>453</v>
      </c>
    </row>
    <row r="18" spans="2:10" x14ac:dyDescent="0.3">
      <c r="B18" s="149" t="s">
        <v>323</v>
      </c>
    </row>
    <row r="19" spans="2:10" x14ac:dyDescent="0.3">
      <c r="B19" s="149" t="s">
        <v>335</v>
      </c>
    </row>
    <row r="20" spans="2:10" x14ac:dyDescent="0.3">
      <c r="B20" s="149" t="s">
        <v>395</v>
      </c>
    </row>
    <row r="21" spans="2:10" x14ac:dyDescent="0.3">
      <c r="B21" s="149" t="s">
        <v>454</v>
      </c>
    </row>
    <row r="23" spans="2:10" x14ac:dyDescent="0.3">
      <c r="B23" s="148" t="s">
        <v>455</v>
      </c>
      <c r="C23" s="56"/>
      <c r="D23" s="56"/>
      <c r="E23" s="56"/>
      <c r="F23" s="56"/>
      <c r="G23" s="56"/>
      <c r="H23" s="56"/>
      <c r="I23" s="56"/>
      <c r="J23" s="56"/>
    </row>
    <row r="24" spans="2:10" x14ac:dyDescent="0.3">
      <c r="B24" s="149" t="s">
        <v>361</v>
      </c>
    </row>
    <row r="25" spans="2:10" x14ac:dyDescent="0.3">
      <c r="B25" s="149" t="s">
        <v>456</v>
      </c>
    </row>
  </sheetData>
  <hyperlinks>
    <hyperlink ref="B7" location="Model!A57" display="Historical Financial Statement" xr:uid="{44CB3681-F172-4895-842F-ED51D4ADF230}"/>
    <hyperlink ref="B8" location="'Index Data'!A1" display="Market Data" xr:uid="{9E8ADF71-24A9-4957-8B0B-CF4AA8FD092E}"/>
    <hyperlink ref="B12" location="Model!A28" display="Income Statement" xr:uid="{75CBE6DF-9A6E-4AE2-9AD9-30FA2EE9EA41}"/>
    <hyperlink ref="B13" location="Model!A57" display="Balance Sheet" xr:uid="{A4FDA424-CCFB-4AAF-827C-70E96A3B0B4A}"/>
    <hyperlink ref="B14" location="Model!A97" display="Cash Flow Statement" xr:uid="{FB19EF8A-C05D-4925-A99D-1AFDB87F55F6}"/>
    <hyperlink ref="B15" location="Model!A131" display="Working Capital" xr:uid="{7F44493E-B590-497F-8619-E7397278C6BF}"/>
    <hyperlink ref="B16" location="Model!A138" display="Depreciation Schedule" xr:uid="{7861CC71-A058-484E-8C8F-5302751A33DE}"/>
    <hyperlink ref="B17" location="Model!A144" display="Debt Schedule" xr:uid="{F02EFE8E-27D7-48AD-AA91-F7AD277A4ECD}"/>
    <hyperlink ref="B18" location="WACC!A20" display="WACC" xr:uid="{007E9F5E-7A1F-457A-B290-59844E365661}"/>
    <hyperlink ref="B19" location="Beta!H9" display="Beta" xr:uid="{EC09B5FF-AD34-4BA6-8014-3D8A04D3F0B7}"/>
    <hyperlink ref="B20" location="Model!A190" display="Sensitivity Analysis" xr:uid="{E3F9086E-4485-4DD4-A39E-8CE9FFEC5059}"/>
    <hyperlink ref="B21" location="Ratio!A1" display="Ratio Analysis" xr:uid="{CED47B0A-3608-4CF1-9652-E8ED4239B010}"/>
    <hyperlink ref="B24" location="Model!A150" display="DCF Model" xr:uid="{9CA2F1C1-9E27-4C5C-94DE-AA06070FCA36}"/>
    <hyperlink ref="B25" location="'Company Valuation'!A1" display="Comparables Analysis" xr:uid="{2301C18E-2978-4460-8A41-7ACFCFE242CA}"/>
    <hyperlink ref="B9" location="Assumption!A1" display="Assumptions" xr:uid="{4A7F6055-836E-4893-83F7-B7120FEB4D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E502-449C-4505-98BA-5539D4BC947E}">
  <dimension ref="B2:AB31"/>
  <sheetViews>
    <sheetView showGridLines="0" topLeftCell="B12" zoomScale="75" workbookViewId="0">
      <selection activeCell="AG40" sqref="AG40"/>
    </sheetView>
  </sheetViews>
  <sheetFormatPr defaultRowHeight="14.4" x14ac:dyDescent="0.3"/>
  <cols>
    <col min="2" max="2" width="40.44140625" bestFit="1" customWidth="1"/>
    <col min="4" max="4" width="9.77734375" bestFit="1" customWidth="1"/>
  </cols>
  <sheetData>
    <row r="2" spans="2:28" ht="28.8" x14ac:dyDescent="0.55000000000000004">
      <c r="B2" s="15" t="str">
        <f>Model!B2</f>
        <v>Hindustan Uniliver Ltd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28" x14ac:dyDescent="0.3">
      <c r="B3" s="16" t="str">
        <f>Model!B3</f>
        <v>HINDUNILVR | 500696</v>
      </c>
      <c r="C3" s="2"/>
      <c r="D3" s="2"/>
      <c r="E3" s="17"/>
      <c r="F3" s="17"/>
      <c r="G3" s="17"/>
      <c r="H3" s="17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</row>
    <row r="4" spans="2:28" x14ac:dyDescent="0.3">
      <c r="B4" s="16" t="str">
        <f>Model!B4</f>
        <v>Financial Statement &amp; DCF Analysis</v>
      </c>
      <c r="C4" s="2"/>
      <c r="D4" s="2"/>
      <c r="E4" s="18"/>
      <c r="F4" s="18"/>
      <c r="G4" s="18"/>
      <c r="H4" s="18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6" spans="2:28" x14ac:dyDescent="0.3">
      <c r="B6" s="128" t="s">
        <v>284</v>
      </c>
      <c r="C6" s="172" t="s">
        <v>156</v>
      </c>
      <c r="D6" s="172"/>
      <c r="E6" s="172"/>
      <c r="F6" s="172"/>
    </row>
    <row r="7" spans="2:28" x14ac:dyDescent="0.3">
      <c r="B7" s="128" t="s">
        <v>423</v>
      </c>
      <c r="C7" s="172" t="s">
        <v>431</v>
      </c>
      <c r="D7" s="172"/>
      <c r="E7" s="172"/>
      <c r="F7" s="172"/>
    </row>
    <row r="8" spans="2:28" x14ac:dyDescent="0.3">
      <c r="B8" s="128" t="s">
        <v>424</v>
      </c>
      <c r="C8" s="172" t="s">
        <v>433</v>
      </c>
      <c r="D8" s="172"/>
      <c r="E8" s="172"/>
      <c r="F8" s="172"/>
    </row>
    <row r="9" spans="2:28" x14ac:dyDescent="0.3">
      <c r="B9" s="128" t="s">
        <v>425</v>
      </c>
      <c r="C9" s="172" t="s">
        <v>432</v>
      </c>
      <c r="D9" s="172"/>
      <c r="E9" s="172"/>
      <c r="F9" s="172"/>
    </row>
    <row r="10" spans="2:28" x14ac:dyDescent="0.3">
      <c r="B10" s="128" t="s">
        <v>426</v>
      </c>
      <c r="C10" s="129" t="s">
        <v>434</v>
      </c>
      <c r="D10" s="130"/>
      <c r="E10" s="130"/>
      <c r="F10" s="131"/>
    </row>
    <row r="11" spans="2:28" x14ac:dyDescent="0.3">
      <c r="B11" s="128" t="s">
        <v>427</v>
      </c>
      <c r="C11" s="163" t="s">
        <v>435</v>
      </c>
      <c r="D11" s="164"/>
      <c r="E11" s="164"/>
      <c r="F11" s="165"/>
    </row>
    <row r="12" spans="2:28" x14ac:dyDescent="0.3">
      <c r="B12" s="128" t="s">
        <v>428</v>
      </c>
      <c r="C12" s="173" t="s">
        <v>436</v>
      </c>
      <c r="D12" s="174"/>
      <c r="E12" s="174"/>
      <c r="F12" s="175"/>
    </row>
    <row r="13" spans="2:28" x14ac:dyDescent="0.3">
      <c r="B13" s="132" t="s">
        <v>429</v>
      </c>
      <c r="C13" s="163" t="s">
        <v>437</v>
      </c>
      <c r="D13" s="164"/>
      <c r="E13" s="164"/>
      <c r="F13" s="165"/>
    </row>
    <row r="14" spans="2:28" x14ac:dyDescent="0.3">
      <c r="B14" s="128" t="s">
        <v>430</v>
      </c>
      <c r="C14" s="166">
        <v>1932</v>
      </c>
      <c r="D14" s="167"/>
      <c r="E14" s="167"/>
      <c r="F14" s="168"/>
    </row>
    <row r="16" spans="2:28" x14ac:dyDescent="0.3">
      <c r="B16" s="169" t="s">
        <v>438</v>
      </c>
      <c r="C16" s="170"/>
      <c r="D16" s="171"/>
    </row>
    <row r="17" spans="2:4" x14ac:dyDescent="0.3">
      <c r="B17" s="133" t="s">
        <v>439</v>
      </c>
      <c r="C17" s="134"/>
      <c r="D17" s="135"/>
    </row>
    <row r="18" spans="2:4" x14ac:dyDescent="0.3">
      <c r="B18" s="136" t="s">
        <v>440</v>
      </c>
      <c r="C18" s="137" t="s">
        <v>441</v>
      </c>
      <c r="D18" s="138">
        <v>1115507</v>
      </c>
    </row>
    <row r="19" spans="2:4" x14ac:dyDescent="0.3">
      <c r="B19" s="136" t="s">
        <v>442</v>
      </c>
      <c r="C19" s="137" t="s">
        <v>443</v>
      </c>
      <c r="D19" s="138">
        <v>1</v>
      </c>
    </row>
    <row r="20" spans="2:4" x14ac:dyDescent="0.3">
      <c r="B20" s="136" t="s">
        <v>430</v>
      </c>
      <c r="C20" s="137" t="s">
        <v>443</v>
      </c>
      <c r="D20" s="139">
        <v>1932</v>
      </c>
    </row>
    <row r="21" spans="2:4" x14ac:dyDescent="0.3">
      <c r="B21" s="140" t="s">
        <v>444</v>
      </c>
      <c r="C21" s="141" t="s">
        <v>443</v>
      </c>
      <c r="D21" s="146">
        <v>453941</v>
      </c>
    </row>
    <row r="23" spans="2:4" x14ac:dyDescent="0.3">
      <c r="B23" s="169" t="s">
        <v>445</v>
      </c>
      <c r="C23" s="170"/>
      <c r="D23" s="171"/>
    </row>
    <row r="24" spans="2:4" x14ac:dyDescent="0.3">
      <c r="B24" s="142" t="s">
        <v>446</v>
      </c>
      <c r="C24" s="143" t="s">
        <v>227</v>
      </c>
      <c r="D24" s="144">
        <f>Scenario!D8</f>
        <v>5.4486856828024621E-2</v>
      </c>
    </row>
    <row r="25" spans="2:4" x14ac:dyDescent="0.3">
      <c r="B25" s="147" t="s">
        <v>253</v>
      </c>
      <c r="C25" s="143" t="s">
        <v>227</v>
      </c>
      <c r="D25" s="144">
        <f>Scenario!D8</f>
        <v>5.4486856828024621E-2</v>
      </c>
    </row>
    <row r="26" spans="2:4" x14ac:dyDescent="0.3">
      <c r="B26" s="147" t="s">
        <v>254</v>
      </c>
      <c r="C26" s="143" t="s">
        <v>227</v>
      </c>
      <c r="D26" s="144">
        <f>Scenario!D9</f>
        <v>0.15509285741524614</v>
      </c>
    </row>
    <row r="27" spans="2:4" x14ac:dyDescent="0.3">
      <c r="B27" s="147" t="s">
        <v>253</v>
      </c>
      <c r="C27" s="143" t="s">
        <v>227</v>
      </c>
      <c r="D27" s="144">
        <f>Scenario!D10</f>
        <v>1.9791262763344974E-2</v>
      </c>
    </row>
    <row r="28" spans="2:4" x14ac:dyDescent="0.3">
      <c r="B28" s="142" t="s">
        <v>447</v>
      </c>
      <c r="C28" s="143" t="s">
        <v>227</v>
      </c>
      <c r="D28" s="144">
        <f>Model!C155</f>
        <v>6.5000000000000002E-2</v>
      </c>
    </row>
    <row r="29" spans="2:4" x14ac:dyDescent="0.3">
      <c r="B29" s="142" t="s">
        <v>448</v>
      </c>
      <c r="C29" s="143" t="s">
        <v>227</v>
      </c>
      <c r="D29" s="144">
        <f>WACC!D41</f>
        <v>6.7599999999999993E-2</v>
      </c>
    </row>
    <row r="30" spans="2:4" x14ac:dyDescent="0.3">
      <c r="B30" s="142" t="s">
        <v>449</v>
      </c>
      <c r="C30" s="143" t="s">
        <v>227</v>
      </c>
      <c r="D30" s="145">
        <f>WACC!D36</f>
        <v>0.24825236442253623</v>
      </c>
    </row>
    <row r="31" spans="2:4" x14ac:dyDescent="0.3">
      <c r="B31" s="142" t="s">
        <v>323</v>
      </c>
      <c r="C31" s="143" t="s">
        <v>227</v>
      </c>
      <c r="D31" s="144">
        <f>WACC!D47</f>
        <v>7.257127367961648E-2</v>
      </c>
    </row>
  </sheetData>
  <mergeCells count="10">
    <mergeCell ref="C13:F13"/>
    <mergeCell ref="C14:F14"/>
    <mergeCell ref="B16:D16"/>
    <mergeCell ref="B23:D23"/>
    <mergeCell ref="C6:F6"/>
    <mergeCell ref="C7:F7"/>
    <mergeCell ref="C8:F8"/>
    <mergeCell ref="C9:F9"/>
    <mergeCell ref="C11:F11"/>
    <mergeCell ref="C12:F12"/>
  </mergeCells>
  <hyperlinks>
    <hyperlink ref="C12" r:id="rId1" xr:uid="{A47B29A1-8575-4323-945D-B624ED9352B2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9248-6198-493D-91BA-D95DD1F5D59E}">
  <dimension ref="A2:U210"/>
  <sheetViews>
    <sheetView showGridLines="0" tabSelected="1" zoomScale="65" zoomScaleNormal="64" workbookViewId="0">
      <selection activeCell="E64" sqref="E64"/>
    </sheetView>
  </sheetViews>
  <sheetFormatPr defaultRowHeight="14.4" x14ac:dyDescent="0.3"/>
  <cols>
    <col min="2" max="2" width="59.33203125" bestFit="1" customWidth="1"/>
    <col min="3" max="3" width="10.88671875" bestFit="1" customWidth="1"/>
    <col min="5" max="5" width="13.88671875" bestFit="1" customWidth="1"/>
    <col min="6" max="6" width="14.33203125" bestFit="1" customWidth="1"/>
    <col min="7" max="7" width="15.44140625" bestFit="1" customWidth="1"/>
    <col min="8" max="8" width="14.5546875" bestFit="1" customWidth="1"/>
    <col min="9" max="10" width="15" bestFit="1" customWidth="1"/>
    <col min="11" max="11" width="14.5546875" bestFit="1" customWidth="1"/>
    <col min="12" max="12" width="15" bestFit="1" customWidth="1"/>
    <col min="13" max="13" width="15.44140625" bestFit="1" customWidth="1"/>
    <col min="14" max="14" width="15" bestFit="1" customWidth="1"/>
    <col min="15" max="15" width="15.44140625" bestFit="1" customWidth="1"/>
    <col min="16" max="16" width="15" bestFit="1" customWidth="1"/>
    <col min="17" max="19" width="12.21875" bestFit="1" customWidth="1"/>
  </cols>
  <sheetData>
    <row r="2" spans="2:19" ht="28.8" x14ac:dyDescent="0.55000000000000004">
      <c r="B2" s="15" t="s">
        <v>156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2:19" x14ac:dyDescent="0.3">
      <c r="B3" s="16" t="s">
        <v>157</v>
      </c>
      <c r="C3" s="2"/>
      <c r="D3" s="2"/>
      <c r="E3" s="160" t="s">
        <v>154</v>
      </c>
      <c r="F3" s="160"/>
      <c r="G3" s="160"/>
      <c r="H3" s="160"/>
      <c r="I3" s="160"/>
      <c r="J3" s="161"/>
      <c r="K3" s="161"/>
      <c r="L3" s="161"/>
      <c r="M3" s="161"/>
      <c r="N3" s="161"/>
      <c r="O3" s="161"/>
      <c r="P3" s="161"/>
      <c r="Q3" s="161"/>
      <c r="R3" s="161"/>
      <c r="S3" s="161"/>
    </row>
    <row r="4" spans="2:19" x14ac:dyDescent="0.3">
      <c r="B4" s="1" t="s">
        <v>155</v>
      </c>
      <c r="C4" s="2"/>
      <c r="D4" s="2"/>
      <c r="E4" s="18">
        <v>2022</v>
      </c>
      <c r="F4" s="18">
        <f>E4+1</f>
        <v>2023</v>
      </c>
      <c r="G4" s="18">
        <f t="shared" ref="G4:H4" si="0">F4+1</f>
        <v>2024</v>
      </c>
      <c r="H4" s="18">
        <f t="shared" si="0"/>
        <v>2025</v>
      </c>
      <c r="I4" s="18">
        <f>H4+1</f>
        <v>2026</v>
      </c>
      <c r="J4" s="44">
        <f>I4+1</f>
        <v>2027</v>
      </c>
      <c r="K4" s="44">
        <f>J4+1</f>
        <v>2028</v>
      </c>
      <c r="L4" s="44">
        <f t="shared" ref="L4:S4" si="1">K4+1</f>
        <v>2029</v>
      </c>
      <c r="M4" s="44">
        <f t="shared" si="1"/>
        <v>2030</v>
      </c>
      <c r="N4" s="44">
        <f t="shared" si="1"/>
        <v>2031</v>
      </c>
      <c r="O4" s="44">
        <f t="shared" si="1"/>
        <v>2032</v>
      </c>
      <c r="P4" s="44">
        <f t="shared" si="1"/>
        <v>2033</v>
      </c>
      <c r="Q4" s="44">
        <f t="shared" si="1"/>
        <v>2034</v>
      </c>
      <c r="R4" s="44">
        <f t="shared" si="1"/>
        <v>2035</v>
      </c>
      <c r="S4" s="44">
        <f t="shared" si="1"/>
        <v>2036</v>
      </c>
    </row>
    <row r="5" spans="2:19" x14ac:dyDescent="0.3">
      <c r="B5" t="s">
        <v>259</v>
      </c>
      <c r="E5" t="str">
        <f>IF(E95=0,"Ok","Error")</f>
        <v>Ok</v>
      </c>
      <c r="F5" t="str">
        <f t="shared" ref="F5:S5" si="2">IF(F95=0,"Ok","Error")</f>
        <v>Ok</v>
      </c>
      <c r="G5" t="str">
        <f t="shared" si="2"/>
        <v>Ok</v>
      </c>
      <c r="H5" t="str">
        <f t="shared" si="2"/>
        <v>Ok</v>
      </c>
      <c r="I5" t="str">
        <f t="shared" si="2"/>
        <v>Ok</v>
      </c>
      <c r="J5" t="str">
        <f>IF(J95=0,"Ok","Error")</f>
        <v>Ok</v>
      </c>
      <c r="K5" t="str">
        <f t="shared" si="2"/>
        <v>Ok</v>
      </c>
      <c r="L5" t="str">
        <f t="shared" si="2"/>
        <v>Ok</v>
      </c>
      <c r="M5" t="str">
        <f t="shared" si="2"/>
        <v>Ok</v>
      </c>
      <c r="N5" t="str">
        <f t="shared" si="2"/>
        <v>Ok</v>
      </c>
      <c r="O5" t="str">
        <f t="shared" si="2"/>
        <v>Ok</v>
      </c>
      <c r="P5" t="str">
        <f t="shared" si="2"/>
        <v>Ok</v>
      </c>
      <c r="Q5" t="str">
        <f t="shared" si="2"/>
        <v>Ok</v>
      </c>
      <c r="R5" t="str">
        <f t="shared" si="2"/>
        <v>Ok</v>
      </c>
      <c r="S5" t="str">
        <f t="shared" si="2"/>
        <v>Ok</v>
      </c>
    </row>
    <row r="6" spans="2:19" x14ac:dyDescent="0.3">
      <c r="B6" s="3" t="s">
        <v>2</v>
      </c>
    </row>
    <row r="8" spans="2:19" ht="18" x14ac:dyDescent="0.35">
      <c r="B8" s="19" t="s">
        <v>225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10" spans="2:19" x14ac:dyDescent="0.3">
      <c r="B10" s="45" t="s">
        <v>257</v>
      </c>
      <c r="C10" s="49"/>
      <c r="D10" s="45" t="s">
        <v>258</v>
      </c>
      <c r="E10" s="50">
        <v>1</v>
      </c>
    </row>
    <row r="12" spans="2:19" x14ac:dyDescent="0.3">
      <c r="B12" t="s">
        <v>226</v>
      </c>
      <c r="D12" t="s">
        <v>227</v>
      </c>
      <c r="E12" s="34">
        <v>0</v>
      </c>
      <c r="F12" s="35">
        <f>F29/E29-1</f>
        <v>0.15509285741524614</v>
      </c>
      <c r="G12" s="35">
        <f t="shared" ref="G12:I12" si="3">G29/F29-1</f>
        <v>2.1723341036645749E-2</v>
      </c>
      <c r="H12" s="35">
        <f t="shared" si="3"/>
        <v>1.9791262763344974E-2</v>
      </c>
      <c r="I12" s="35">
        <f t="shared" si="3"/>
        <v>2.1339966096861618E-2</v>
      </c>
      <c r="J12" s="35" cm="1">
        <f t="array" ref="J12:S12">CHOOSE(E10,Scenario!E8:N8,Scenario!E9:N9,Scenario!E10:N10
)</f>
        <v>5.4486856828024621E-2</v>
      </c>
      <c r="K12" s="35">
        <v>5.1217645418343144E-2</v>
      </c>
      <c r="L12" s="35">
        <v>4.814458669324255E-2</v>
      </c>
      <c r="M12" s="35">
        <v>4.5255911491647996E-2</v>
      </c>
      <c r="N12" s="35">
        <v>4.2540556802149111E-2</v>
      </c>
      <c r="O12" s="35">
        <v>3.9988123394020164E-2</v>
      </c>
      <c r="P12" s="35">
        <v>3.7588835990378953E-2</v>
      </c>
      <c r="Q12" s="35">
        <v>3.5333505830956215E-2</v>
      </c>
      <c r="R12" s="35">
        <v>3.3213495481098837E-2</v>
      </c>
      <c r="S12" s="35">
        <v>3.1220685752232906E-2</v>
      </c>
    </row>
    <row r="13" spans="2:19" x14ac:dyDescent="0.3">
      <c r="B13" t="s">
        <v>228</v>
      </c>
      <c r="D13" t="s">
        <v>227</v>
      </c>
      <c r="E13" s="36">
        <f>-E30/E29</f>
        <v>0.49069519124432748</v>
      </c>
      <c r="F13" s="36">
        <f t="shared" ref="F13:I13" si="4">-F30/F29</f>
        <v>0.5235391218223836</v>
      </c>
      <c r="G13" s="36">
        <f t="shared" si="4"/>
        <v>0.48080651415277237</v>
      </c>
      <c r="H13" s="36">
        <f t="shared" si="4"/>
        <v>0.48443465724560764</v>
      </c>
      <c r="I13" s="36">
        <f t="shared" si="4"/>
        <v>0.49117391574114289</v>
      </c>
      <c r="J13" s="51">
        <f>AVERAGE($E13:$I13)</f>
        <v>0.49412988004124675</v>
      </c>
      <c r="K13" s="51">
        <f t="shared" ref="K13:S14" si="5">AVERAGE($E13:$I13)</f>
        <v>0.49412988004124675</v>
      </c>
      <c r="L13" s="51">
        <f t="shared" si="5"/>
        <v>0.49412988004124675</v>
      </c>
      <c r="M13" s="51">
        <f t="shared" si="5"/>
        <v>0.49412988004124675</v>
      </c>
      <c r="N13" s="51">
        <f t="shared" si="5"/>
        <v>0.49412988004124675</v>
      </c>
      <c r="O13" s="51">
        <f t="shared" si="5"/>
        <v>0.49412988004124675</v>
      </c>
      <c r="P13" s="51">
        <f t="shared" si="5"/>
        <v>0.49412988004124675</v>
      </c>
      <c r="Q13" s="51">
        <f t="shared" si="5"/>
        <v>0.49412988004124675</v>
      </c>
      <c r="R13" s="51">
        <f t="shared" si="5"/>
        <v>0.49412988004124675</v>
      </c>
      <c r="S13" s="51">
        <f t="shared" si="5"/>
        <v>0.49412988004124675</v>
      </c>
    </row>
    <row r="14" spans="2:19" x14ac:dyDescent="0.3">
      <c r="B14" t="s">
        <v>229</v>
      </c>
      <c r="D14" t="s">
        <v>227</v>
      </c>
      <c r="E14" s="36">
        <f>-E35/E29</f>
        <v>4.8526103039316627E-2</v>
      </c>
      <c r="F14" s="36">
        <f t="shared" ref="F14:I14" si="6">-F35/F29</f>
        <v>4.7111257840871577E-2</v>
      </c>
      <c r="G14" s="36">
        <f t="shared" si="6"/>
        <v>4.8613803799922452E-2</v>
      </c>
      <c r="H14" s="36">
        <f t="shared" si="6"/>
        <v>4.8747643415028276E-2</v>
      </c>
      <c r="I14" s="36">
        <f t="shared" si="6"/>
        <v>4.9249239932990012E-2</v>
      </c>
      <c r="J14" s="51">
        <f>AVERAGE($E14:$I14)</f>
        <v>4.844960960562579E-2</v>
      </c>
      <c r="K14" s="51">
        <f t="shared" si="5"/>
        <v>4.844960960562579E-2</v>
      </c>
      <c r="L14" s="51">
        <f t="shared" si="5"/>
        <v>4.844960960562579E-2</v>
      </c>
      <c r="M14" s="51">
        <f t="shared" si="5"/>
        <v>4.844960960562579E-2</v>
      </c>
      <c r="N14" s="51">
        <f t="shared" si="5"/>
        <v>4.844960960562579E-2</v>
      </c>
      <c r="O14" s="51">
        <f t="shared" si="5"/>
        <v>4.844960960562579E-2</v>
      </c>
      <c r="P14" s="51">
        <f t="shared" si="5"/>
        <v>4.844960960562579E-2</v>
      </c>
      <c r="Q14" s="51">
        <f t="shared" si="5"/>
        <v>4.844960960562579E-2</v>
      </c>
      <c r="R14" s="51">
        <f t="shared" si="5"/>
        <v>4.844960960562579E-2</v>
      </c>
      <c r="S14" s="51">
        <f t="shared" si="5"/>
        <v>4.844960960562579E-2</v>
      </c>
    </row>
    <row r="15" spans="2:19" x14ac:dyDescent="0.3">
      <c r="B15" t="s">
        <v>230</v>
      </c>
      <c r="D15" t="s">
        <v>227</v>
      </c>
      <c r="E15" s="36">
        <f>-E36/E29</f>
        <v>0.21563131602028754</v>
      </c>
      <c r="F15" s="36">
        <f t="shared" ref="F15:I15" si="7">-F36/F29</f>
        <v>0.19579068999669857</v>
      </c>
      <c r="G15" s="36">
        <f t="shared" si="7"/>
        <v>0.23368230580328292</v>
      </c>
      <c r="H15" s="36">
        <f t="shared" si="7"/>
        <v>0.23153942428035043</v>
      </c>
      <c r="I15" s="36">
        <f t="shared" si="7"/>
        <v>0.22606564497114848</v>
      </c>
      <c r="J15" s="51">
        <f>AVERAGE($E15:$I15)</f>
        <v>0.22054187621435362</v>
      </c>
      <c r="K15" s="51">
        <f t="shared" ref="J15:S21" si="8">AVERAGE($E15:$I15)</f>
        <v>0.22054187621435362</v>
      </c>
      <c r="L15" s="51">
        <f t="shared" si="8"/>
        <v>0.22054187621435362</v>
      </c>
      <c r="M15" s="51">
        <f t="shared" si="8"/>
        <v>0.22054187621435362</v>
      </c>
      <c r="N15" s="51">
        <f t="shared" si="8"/>
        <v>0.22054187621435362</v>
      </c>
      <c r="O15" s="51">
        <f t="shared" si="8"/>
        <v>0.22054187621435362</v>
      </c>
      <c r="P15" s="51">
        <f t="shared" si="8"/>
        <v>0.22054187621435362</v>
      </c>
      <c r="Q15" s="51">
        <f t="shared" si="8"/>
        <v>0.22054187621435362</v>
      </c>
      <c r="R15" s="51">
        <f t="shared" si="8"/>
        <v>0.22054187621435362</v>
      </c>
      <c r="S15" s="51">
        <f t="shared" si="8"/>
        <v>0.22054187621435362</v>
      </c>
    </row>
    <row r="16" spans="2:19" x14ac:dyDescent="0.3">
      <c r="B16" t="s">
        <v>231</v>
      </c>
      <c r="D16" t="s">
        <v>227</v>
      </c>
      <c r="E16" s="37">
        <v>0</v>
      </c>
      <c r="F16" s="36">
        <f>-F39/F139</f>
        <v>0.18430863997406388</v>
      </c>
      <c r="G16" s="36">
        <f>-G39/G139</f>
        <v>0.17498920708015542</v>
      </c>
      <c r="H16" s="36">
        <f>-H39/H139</f>
        <v>0.16872120532934878</v>
      </c>
      <c r="I16" s="36">
        <f>-I39/I139</f>
        <v>0.15455072463768116</v>
      </c>
      <c r="J16" s="51">
        <f t="shared" si="8"/>
        <v>0.13651395540424985</v>
      </c>
      <c r="K16" s="51">
        <f t="shared" si="8"/>
        <v>0.13651395540424985</v>
      </c>
      <c r="L16" s="51">
        <f t="shared" si="8"/>
        <v>0.13651395540424985</v>
      </c>
      <c r="M16" s="51">
        <f t="shared" si="8"/>
        <v>0.13651395540424985</v>
      </c>
      <c r="N16" s="51">
        <f t="shared" si="8"/>
        <v>0.13651395540424985</v>
      </c>
      <c r="O16" s="51">
        <f t="shared" si="8"/>
        <v>0.13651395540424985</v>
      </c>
      <c r="P16" s="51">
        <f t="shared" si="8"/>
        <v>0.13651395540424985</v>
      </c>
      <c r="Q16" s="51">
        <f t="shared" si="8"/>
        <v>0.13651395540424985</v>
      </c>
      <c r="R16" s="51">
        <f t="shared" si="8"/>
        <v>0.13651395540424985</v>
      </c>
      <c r="S16" s="51">
        <f t="shared" si="8"/>
        <v>0.13651395540424985</v>
      </c>
    </row>
    <row r="17" spans="2:21" x14ac:dyDescent="0.3">
      <c r="B17" t="s">
        <v>232</v>
      </c>
      <c r="D17" t="s">
        <v>227</v>
      </c>
      <c r="E17" s="37">
        <v>0</v>
      </c>
      <c r="F17" s="36">
        <f>-F42/F145</f>
        <v>0.10930009587727708</v>
      </c>
      <c r="G17" s="36">
        <f>-G42/G145</f>
        <v>0.27399507793273176</v>
      </c>
      <c r="H17" s="36">
        <f>-H42/H145</f>
        <v>0.26617250673854448</v>
      </c>
      <c r="I17" s="36">
        <f>-I42/I145</f>
        <v>0.24878640776699029</v>
      </c>
      <c r="J17" s="51">
        <f t="shared" si="8"/>
        <v>0.17965081766310873</v>
      </c>
      <c r="K17" s="51">
        <f t="shared" si="8"/>
        <v>0.17965081766310873</v>
      </c>
      <c r="L17" s="51">
        <f t="shared" si="8"/>
        <v>0.17965081766310873</v>
      </c>
      <c r="M17" s="51">
        <f t="shared" si="8"/>
        <v>0.17965081766310873</v>
      </c>
      <c r="N17" s="51">
        <f t="shared" si="8"/>
        <v>0.17965081766310873</v>
      </c>
      <c r="O17" s="51">
        <f t="shared" si="8"/>
        <v>0.17965081766310873</v>
      </c>
      <c r="P17" s="51">
        <f t="shared" si="8"/>
        <v>0.17965081766310873</v>
      </c>
      <c r="Q17" s="51">
        <f t="shared" si="8"/>
        <v>0.17965081766310873</v>
      </c>
      <c r="R17" s="51">
        <f t="shared" si="8"/>
        <v>0.17965081766310873</v>
      </c>
      <c r="S17" s="51">
        <f t="shared" si="8"/>
        <v>0.17965081766310873</v>
      </c>
    </row>
    <row r="18" spans="2:21" x14ac:dyDescent="0.3">
      <c r="B18" t="s">
        <v>233</v>
      </c>
      <c r="D18" t="s">
        <v>227</v>
      </c>
      <c r="E18" s="36">
        <f>E43/E29</f>
        <v>4.9193456126301336E-3</v>
      </c>
      <c r="F18" s="36">
        <f t="shared" ref="F18:I18" si="9">F43/F29</f>
        <v>8.4516342027071648E-3</v>
      </c>
      <c r="G18" s="36">
        <f t="shared" si="9"/>
        <v>1.3102623755977769E-2</v>
      </c>
      <c r="H18" s="36">
        <f t="shared" si="9"/>
        <v>1.6111912041951174E-2</v>
      </c>
      <c r="I18" s="36">
        <f t="shared" si="9"/>
        <v>1.1649190295960787E-2</v>
      </c>
      <c r="J18" s="51">
        <f t="shared" si="8"/>
        <v>1.0846941181845407E-2</v>
      </c>
      <c r="K18" s="51">
        <f t="shared" si="8"/>
        <v>1.0846941181845407E-2</v>
      </c>
      <c r="L18" s="51">
        <f t="shared" si="8"/>
        <v>1.0846941181845407E-2</v>
      </c>
      <c r="M18" s="51">
        <f t="shared" si="8"/>
        <v>1.0846941181845407E-2</v>
      </c>
      <c r="N18" s="51">
        <f t="shared" si="8"/>
        <v>1.0846941181845407E-2</v>
      </c>
      <c r="O18" s="51">
        <f t="shared" si="8"/>
        <v>1.0846941181845407E-2</v>
      </c>
      <c r="P18" s="51">
        <f t="shared" si="8"/>
        <v>1.0846941181845407E-2</v>
      </c>
      <c r="Q18" s="51">
        <f t="shared" si="8"/>
        <v>1.0846941181845407E-2</v>
      </c>
      <c r="R18" s="51">
        <f t="shared" si="8"/>
        <v>1.0846941181845407E-2</v>
      </c>
      <c r="S18" s="51">
        <f t="shared" si="8"/>
        <v>1.0846941181845407E-2</v>
      </c>
    </row>
    <row r="19" spans="2:21" x14ac:dyDescent="0.3">
      <c r="B19" t="s">
        <v>234</v>
      </c>
      <c r="D19" t="s">
        <v>227</v>
      </c>
      <c r="E19" s="36">
        <f>-E50/E49</f>
        <v>0.25113693784739766</v>
      </c>
      <c r="F19" s="36">
        <f t="shared" ref="F19:I19" si="10">-F50/F49</f>
        <v>0.23994005245410266</v>
      </c>
      <c r="G19" s="36">
        <f t="shared" si="10"/>
        <v>0.26166882091052707</v>
      </c>
      <c r="H19" s="36">
        <f t="shared" si="10"/>
        <v>0.25972944849115503</v>
      </c>
      <c r="I19" s="36">
        <f t="shared" si="10"/>
        <v>0.22878656240949899</v>
      </c>
      <c r="J19" s="51">
        <f t="shared" si="8"/>
        <v>0.24825236442253623</v>
      </c>
      <c r="K19" s="51">
        <f t="shared" si="8"/>
        <v>0.24825236442253623</v>
      </c>
      <c r="L19" s="51">
        <f t="shared" si="8"/>
        <v>0.24825236442253623</v>
      </c>
      <c r="M19" s="51">
        <f t="shared" si="8"/>
        <v>0.24825236442253623</v>
      </c>
      <c r="N19" s="51">
        <f t="shared" si="8"/>
        <v>0.24825236442253623</v>
      </c>
      <c r="O19" s="51">
        <f t="shared" si="8"/>
        <v>0.24825236442253623</v>
      </c>
      <c r="P19" s="51">
        <f t="shared" si="8"/>
        <v>0.24825236442253623</v>
      </c>
      <c r="Q19" s="51">
        <f t="shared" si="8"/>
        <v>0.24825236442253623</v>
      </c>
      <c r="R19" s="51">
        <f t="shared" si="8"/>
        <v>0.24825236442253623</v>
      </c>
      <c r="S19" s="51">
        <f t="shared" si="8"/>
        <v>0.24825236442253623</v>
      </c>
    </row>
    <row r="20" spans="2:21" x14ac:dyDescent="0.3">
      <c r="B20" t="s">
        <v>235</v>
      </c>
      <c r="D20" t="s">
        <v>227</v>
      </c>
      <c r="E20" s="36">
        <f>-E120/E54</f>
        <v>0.84637876743139906</v>
      </c>
      <c r="F20" s="36">
        <f>-F120/F54</f>
        <v>0.83545302178842551</v>
      </c>
      <c r="G20" s="36">
        <f>-G120/G54</f>
        <v>0.91577514102314728</v>
      </c>
      <c r="H20" s="36">
        <f>-H120/H54</f>
        <v>1.1688688970105894</v>
      </c>
      <c r="I20" s="36">
        <f>-I120/I54</f>
        <v>0.95043184378520462</v>
      </c>
      <c r="J20" s="51">
        <f t="shared" si="8"/>
        <v>0.94338153420775317</v>
      </c>
      <c r="K20" s="51">
        <f t="shared" si="8"/>
        <v>0.94338153420775317</v>
      </c>
      <c r="L20" s="51">
        <f t="shared" si="8"/>
        <v>0.94338153420775317</v>
      </c>
      <c r="M20" s="51">
        <f t="shared" si="8"/>
        <v>0.94338153420775317</v>
      </c>
      <c r="N20" s="51">
        <f t="shared" si="8"/>
        <v>0.94338153420775317</v>
      </c>
      <c r="O20" s="51">
        <f t="shared" si="8"/>
        <v>0.94338153420775317</v>
      </c>
      <c r="P20" s="51">
        <f t="shared" si="8"/>
        <v>0.94338153420775317</v>
      </c>
      <c r="Q20" s="51">
        <f t="shared" si="8"/>
        <v>0.94338153420775317</v>
      </c>
      <c r="R20" s="51">
        <f t="shared" si="8"/>
        <v>0.94338153420775317</v>
      </c>
      <c r="S20" s="51">
        <f t="shared" si="8"/>
        <v>0.94338153420775317</v>
      </c>
    </row>
    <row r="21" spans="2:21" x14ac:dyDescent="0.3">
      <c r="B21" t="s">
        <v>236</v>
      </c>
      <c r="D21" t="s">
        <v>237</v>
      </c>
      <c r="E21" s="38">
        <f>E62/E29*365</f>
        <v>15.561529954619989</v>
      </c>
      <c r="F21" s="38">
        <f t="shared" ref="F21:I21" si="11">F62/F29*365</f>
        <v>18.551254539451964</v>
      </c>
      <c r="G21" s="38">
        <f t="shared" si="11"/>
        <v>17.673274525009692</v>
      </c>
      <c r="H21" s="38">
        <f t="shared" si="11"/>
        <v>22.08353796676225</v>
      </c>
      <c r="I21" s="38">
        <f t="shared" si="11"/>
        <v>19.130964199292674</v>
      </c>
      <c r="J21" s="52">
        <f>AVERAGE($E21:$I21)</f>
        <v>18.600112237027314</v>
      </c>
      <c r="K21" s="52">
        <f t="shared" si="8"/>
        <v>18.600112237027314</v>
      </c>
      <c r="L21" s="52">
        <f t="shared" si="8"/>
        <v>18.600112237027314</v>
      </c>
      <c r="M21" s="52">
        <f t="shared" si="8"/>
        <v>18.600112237027314</v>
      </c>
      <c r="N21" s="52">
        <f t="shared" si="8"/>
        <v>18.600112237027314</v>
      </c>
      <c r="O21" s="52">
        <f t="shared" si="8"/>
        <v>18.600112237027314</v>
      </c>
      <c r="P21" s="52">
        <f t="shared" si="8"/>
        <v>18.600112237027314</v>
      </c>
      <c r="Q21" s="52">
        <f t="shared" si="8"/>
        <v>18.600112237027314</v>
      </c>
      <c r="R21" s="52">
        <f t="shared" si="8"/>
        <v>18.600112237027314</v>
      </c>
      <c r="S21" s="52">
        <f t="shared" si="8"/>
        <v>18.600112237027314</v>
      </c>
    </row>
    <row r="22" spans="2:21" x14ac:dyDescent="0.3">
      <c r="B22" t="s">
        <v>221</v>
      </c>
      <c r="D22" t="s">
        <v>237</v>
      </c>
      <c r="E22" s="38">
        <f>-E63/E30*365</f>
        <v>58.093646784534677</v>
      </c>
      <c r="F22" s="38">
        <f t="shared" ref="F22:I22" si="12">-F63/F30*365</f>
        <v>48.922152856602345</v>
      </c>
      <c r="G22" s="38">
        <f t="shared" si="12"/>
        <v>49.328965053763447</v>
      </c>
      <c r="H22" s="38">
        <f t="shared" si="12"/>
        <v>52.700470926810127</v>
      </c>
      <c r="I22" s="38">
        <f t="shared" si="12"/>
        <v>55.202431706931939</v>
      </c>
      <c r="J22" s="52">
        <f t="shared" ref="J22:S23" si="13">AVERAGE($E22:$I22)</f>
        <v>52.849533465728506</v>
      </c>
      <c r="K22" s="52">
        <f t="shared" si="13"/>
        <v>52.849533465728506</v>
      </c>
      <c r="L22" s="52">
        <f t="shared" si="13"/>
        <v>52.849533465728506</v>
      </c>
      <c r="M22" s="52">
        <f t="shared" si="13"/>
        <v>52.849533465728506</v>
      </c>
      <c r="N22" s="52">
        <f t="shared" si="13"/>
        <v>52.849533465728506</v>
      </c>
      <c r="O22" s="52">
        <f t="shared" si="13"/>
        <v>52.849533465728506</v>
      </c>
      <c r="P22" s="52">
        <f t="shared" si="13"/>
        <v>52.849533465728506</v>
      </c>
      <c r="Q22" s="52">
        <f t="shared" si="13"/>
        <v>52.849533465728506</v>
      </c>
      <c r="R22" s="52">
        <f t="shared" si="13"/>
        <v>52.849533465728506</v>
      </c>
      <c r="S22" s="52">
        <f t="shared" si="13"/>
        <v>52.849533465728506</v>
      </c>
    </row>
    <row r="23" spans="2:21" x14ac:dyDescent="0.3">
      <c r="B23" t="s">
        <v>238</v>
      </c>
      <c r="D23" t="s">
        <v>237</v>
      </c>
      <c r="E23" s="38">
        <f>-E78/E30*365</f>
        <v>128.61161841849619</v>
      </c>
      <c r="F23" s="38">
        <f>-F78/F30*365</f>
        <v>110.18129650649514</v>
      </c>
      <c r="G23" s="38">
        <f>-G78/G30*365</f>
        <v>128.60853494623657</v>
      </c>
      <c r="H23" s="38">
        <f>-H78/H30*365</f>
        <v>135.06360782261757</v>
      </c>
      <c r="I23" s="38">
        <f>-I78/I30*365</f>
        <v>153.59624190746882</v>
      </c>
      <c r="J23" s="52">
        <f t="shared" si="13"/>
        <v>131.21225992026285</v>
      </c>
      <c r="K23" s="52">
        <f t="shared" si="13"/>
        <v>131.21225992026285</v>
      </c>
      <c r="L23" s="52">
        <f t="shared" si="13"/>
        <v>131.21225992026285</v>
      </c>
      <c r="M23" s="52">
        <f t="shared" si="13"/>
        <v>131.21225992026285</v>
      </c>
      <c r="N23" s="52">
        <f t="shared" si="13"/>
        <v>131.21225992026285</v>
      </c>
      <c r="O23" s="52">
        <f t="shared" si="13"/>
        <v>131.21225992026285</v>
      </c>
      <c r="P23" s="52">
        <f t="shared" si="13"/>
        <v>131.21225992026285</v>
      </c>
      <c r="Q23" s="52">
        <f t="shared" si="13"/>
        <v>131.21225992026285</v>
      </c>
      <c r="R23" s="52">
        <f t="shared" si="13"/>
        <v>131.21225992026285</v>
      </c>
      <c r="S23" s="52">
        <f t="shared" si="13"/>
        <v>131.21225992026285</v>
      </c>
    </row>
    <row r="24" spans="2:21" x14ac:dyDescent="0.3">
      <c r="B24" t="s">
        <v>239</v>
      </c>
      <c r="D24" t="s">
        <v>240</v>
      </c>
      <c r="E24" s="39">
        <f>E29/E67</f>
        <v>8.5015399578537849</v>
      </c>
      <c r="F24" s="39">
        <f t="shared" ref="F24:I24" si="14">F29/F67</f>
        <v>8.7178011224636638</v>
      </c>
      <c r="G24" s="39">
        <f t="shared" si="14"/>
        <v>7.7071348524467691</v>
      </c>
      <c r="H24" s="39">
        <f t="shared" si="14"/>
        <v>7.3183768115942032</v>
      </c>
      <c r="I24" s="39">
        <f t="shared" si="14"/>
        <v>7.8792471278416034</v>
      </c>
      <c r="J24" s="53">
        <f>I24-0.02</f>
        <v>7.8592471278416038</v>
      </c>
      <c r="K24" s="53">
        <f t="shared" ref="K24:S24" si="15">J24-0.02</f>
        <v>7.8392471278416043</v>
      </c>
      <c r="L24" s="53">
        <f t="shared" si="15"/>
        <v>7.8192471278416047</v>
      </c>
      <c r="M24" s="53">
        <f t="shared" si="15"/>
        <v>7.7992471278416051</v>
      </c>
      <c r="N24" s="53">
        <f t="shared" si="15"/>
        <v>7.7792471278416055</v>
      </c>
      <c r="O24" s="53">
        <f t="shared" si="15"/>
        <v>7.759247127841606</v>
      </c>
      <c r="P24" s="53">
        <f t="shared" si="15"/>
        <v>7.7392471278416064</v>
      </c>
      <c r="Q24" s="53">
        <f t="shared" si="15"/>
        <v>7.7192471278416068</v>
      </c>
      <c r="R24" s="53">
        <f t="shared" si="15"/>
        <v>7.6992471278416073</v>
      </c>
      <c r="S24" s="53">
        <f t="shared" si="15"/>
        <v>7.6792471278416077</v>
      </c>
      <c r="U24" s="39"/>
    </row>
    <row r="26" spans="2:21" ht="18" x14ac:dyDescent="0.35">
      <c r="B26" s="19" t="s">
        <v>158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8" spans="2:21" ht="15.6" x14ac:dyDescent="0.3">
      <c r="B28" s="20" t="s">
        <v>159</v>
      </c>
    </row>
    <row r="29" spans="2:21" x14ac:dyDescent="0.3">
      <c r="B29" t="s">
        <v>160</v>
      </c>
      <c r="E29" s="23">
        <f>'P&amp;L'!D7</f>
        <v>52446</v>
      </c>
      <c r="F29" s="23">
        <f>'P&amp;L'!E7</f>
        <v>60580</v>
      </c>
      <c r="G29" s="23">
        <f>'P&amp;L'!F7</f>
        <v>61896</v>
      </c>
      <c r="H29" s="23">
        <f>'P&amp;L'!G7</f>
        <v>63121</v>
      </c>
      <c r="I29" s="23">
        <f>'P&amp;L'!H7</f>
        <v>64468</v>
      </c>
      <c r="J29" s="54">
        <f t="shared" ref="J29:S29" si="16">I29*(1+J12)</f>
        <v>67980.658685989081</v>
      </c>
      <c r="K29" s="54">
        <f t="shared" si="16"/>
        <v>71462.467957873479</v>
      </c>
      <c r="L29" s="54">
        <f t="shared" si="16"/>
        <v>74902.99894178439</v>
      </c>
      <c r="M29" s="54">
        <f t="shared" si="16"/>
        <v>78292.802432352793</v>
      </c>
      <c r="N29" s="54">
        <f t="shared" si="16"/>
        <v>81623.421841425734</v>
      </c>
      <c r="O29" s="54">
        <f t="shared" si="16"/>
        <v>84887.389305862831</v>
      </c>
      <c r="P29" s="54">
        <f t="shared" si="16"/>
        <v>88078.207460132355</v>
      </c>
      <c r="Q29" s="54">
        <f t="shared" si="16"/>
        <v>91190.319317005124</v>
      </c>
      <c r="R29" s="54">
        <f t="shared" si="16"/>
        <v>94219.068575560421</v>
      </c>
      <c r="S29" s="54">
        <f t="shared" si="16"/>
        <v>97160.652507426072</v>
      </c>
    </row>
    <row r="30" spans="2:21" x14ac:dyDescent="0.3">
      <c r="B30" t="s">
        <v>161</v>
      </c>
      <c r="E30" s="23">
        <f>-SUM('P&amp;L'!D12:D14)</f>
        <v>-25735</v>
      </c>
      <c r="F30" s="23">
        <f>-SUM('P&amp;L'!E12:E14)</f>
        <v>-31716</v>
      </c>
      <c r="G30" s="23">
        <f>-SUM('P&amp;L'!F12:F14)</f>
        <v>-29760</v>
      </c>
      <c r="H30" s="23">
        <f>-SUM('P&amp;L'!G12:G14)</f>
        <v>-30578</v>
      </c>
      <c r="I30" s="23">
        <f>-SUM('P&amp;L'!H12:H14)</f>
        <v>-31665</v>
      </c>
      <c r="J30" s="54">
        <f t="shared" ref="J30:S30" si="17">-J29*J13</f>
        <v>-33591.274721632726</v>
      </c>
      <c r="K30" s="54">
        <f t="shared" si="17"/>
        <v>-35311.740719475463</v>
      </c>
      <c r="L30" s="54">
        <f t="shared" si="17"/>
        <v>-37011.809881833549</v>
      </c>
      <c r="M30" s="54">
        <f t="shared" si="17"/>
        <v>-38686.813073991514</v>
      </c>
      <c r="N30" s="54">
        <f t="shared" si="17"/>
        <v>-40332.571643059775</v>
      </c>
      <c r="O30" s="54">
        <f t="shared" si="17"/>
        <v>-41945.395494720615</v>
      </c>
      <c r="P30" s="54">
        <f t="shared" si="17"/>
        <v>-43522.074086523244</v>
      </c>
      <c r="Q30" s="54">
        <f t="shared" si="17"/>
        <v>-45059.861545034728</v>
      </c>
      <c r="R30" s="54">
        <f t="shared" si="17"/>
        <v>-46556.457052839673</v>
      </c>
      <c r="S30" s="54">
        <f t="shared" si="17"/>
        <v>-48009.981568223702</v>
      </c>
    </row>
    <row r="31" spans="2:21" x14ac:dyDescent="0.3">
      <c r="J31" s="54"/>
      <c r="K31" s="54"/>
      <c r="L31" s="54"/>
      <c r="M31" s="54"/>
      <c r="N31" s="54"/>
      <c r="O31" s="54"/>
      <c r="P31" s="54"/>
      <c r="Q31" s="54"/>
      <c r="R31" s="54"/>
      <c r="S31" s="54"/>
    </row>
    <row r="32" spans="2:21" x14ac:dyDescent="0.3">
      <c r="B32" s="7" t="s">
        <v>162</v>
      </c>
      <c r="C32" s="8"/>
      <c r="D32" s="8"/>
      <c r="E32" s="25">
        <f>SUM(E29:E30)</f>
        <v>26711</v>
      </c>
      <c r="F32" s="25">
        <f t="shared" ref="F32:S32" si="18">SUM(F29:F30)</f>
        <v>28864</v>
      </c>
      <c r="G32" s="25">
        <f t="shared" si="18"/>
        <v>32136</v>
      </c>
      <c r="H32" s="25">
        <f t="shared" si="18"/>
        <v>32543</v>
      </c>
      <c r="I32" s="25">
        <f t="shared" si="18"/>
        <v>32803</v>
      </c>
      <c r="J32" s="55">
        <f t="shared" si="18"/>
        <v>34389.383964356355</v>
      </c>
      <c r="K32" s="55">
        <f t="shared" si="18"/>
        <v>36150.727238398016</v>
      </c>
      <c r="L32" s="55">
        <f t="shared" si="18"/>
        <v>37891.189059950841</v>
      </c>
      <c r="M32" s="55">
        <f t="shared" si="18"/>
        <v>39605.989358361279</v>
      </c>
      <c r="N32" s="55">
        <f t="shared" si="18"/>
        <v>41290.850198365959</v>
      </c>
      <c r="O32" s="55">
        <f t="shared" si="18"/>
        <v>42941.993811142216</v>
      </c>
      <c r="P32" s="55">
        <f t="shared" si="18"/>
        <v>44556.133373609111</v>
      </c>
      <c r="Q32" s="55">
        <f t="shared" si="18"/>
        <v>46130.457771970396</v>
      </c>
      <c r="R32" s="55">
        <f t="shared" si="18"/>
        <v>47662.611522720748</v>
      </c>
      <c r="S32" s="55">
        <f t="shared" si="18"/>
        <v>49150.670939202369</v>
      </c>
    </row>
    <row r="33" spans="1:19" x14ac:dyDescent="0.3">
      <c r="J33" s="54"/>
      <c r="K33" s="54"/>
      <c r="L33" s="54"/>
      <c r="M33" s="54"/>
      <c r="N33" s="54"/>
      <c r="O33" s="54"/>
      <c r="P33" s="54"/>
      <c r="Q33" s="54"/>
      <c r="R33" s="54"/>
      <c r="S33" s="54"/>
    </row>
    <row r="34" spans="1:19" ht="15.6" x14ac:dyDescent="0.3">
      <c r="B34" s="20" t="s">
        <v>163</v>
      </c>
      <c r="J34" s="54"/>
      <c r="K34" s="54"/>
      <c r="L34" s="54"/>
      <c r="M34" s="54"/>
      <c r="N34" s="54"/>
      <c r="O34" s="54"/>
      <c r="P34" s="54"/>
      <c r="Q34" s="54"/>
      <c r="R34" s="54"/>
      <c r="S34" s="54"/>
    </row>
    <row r="35" spans="1:19" x14ac:dyDescent="0.3">
      <c r="B35" t="s">
        <v>164</v>
      </c>
      <c r="E35" s="23">
        <f>-'P&amp;L'!D15</f>
        <v>-2545</v>
      </c>
      <c r="F35" s="23">
        <f>-'P&amp;L'!E15</f>
        <v>-2854</v>
      </c>
      <c r="G35" s="23">
        <f>-'P&amp;L'!F15</f>
        <v>-3009</v>
      </c>
      <c r="H35" s="23">
        <f>-'P&amp;L'!G15</f>
        <v>-3077</v>
      </c>
      <c r="I35" s="23">
        <f>-'P&amp;L'!H15</f>
        <v>-3175</v>
      </c>
      <c r="J35" s="54">
        <f t="shared" ref="J35:S35" si="19">-J29*J14</f>
        <v>-3293.6363740694651</v>
      </c>
      <c r="K35" s="54">
        <f t="shared" si="19"/>
        <v>-3462.3286740135122</v>
      </c>
      <c r="L35" s="54">
        <f t="shared" si="19"/>
        <v>-3629.0210570200552</v>
      </c>
      <c r="M35" s="54">
        <f t="shared" si="19"/>
        <v>-3793.2557127778823</v>
      </c>
      <c r="N35" s="54">
        <f t="shared" si="19"/>
        <v>-3954.6229228923862</v>
      </c>
      <c r="O35" s="54">
        <f t="shared" si="19"/>
        <v>-4112.7608723098274</v>
      </c>
      <c r="P35" s="54">
        <f t="shared" si="19"/>
        <v>-4267.3547662067294</v>
      </c>
      <c r="Q35" s="54">
        <f t="shared" si="19"/>
        <v>-4418.1353707212547</v>
      </c>
      <c r="R35" s="54">
        <f t="shared" si="19"/>
        <v>-4564.8770898915873</v>
      </c>
      <c r="S35" s="54">
        <f t="shared" si="19"/>
        <v>-4707.3956830126599</v>
      </c>
    </row>
    <row r="36" spans="1:19" x14ac:dyDescent="0.3">
      <c r="B36" t="s">
        <v>165</v>
      </c>
      <c r="E36" s="23">
        <f>-'P&amp;L'!D18</f>
        <v>-11309</v>
      </c>
      <c r="F36" s="23">
        <f>-'P&amp;L'!E18</f>
        <v>-11861</v>
      </c>
      <c r="G36" s="23">
        <f>-'P&amp;L'!F18</f>
        <v>-14464</v>
      </c>
      <c r="H36" s="23">
        <f>-'P&amp;L'!G18</f>
        <v>-14615</v>
      </c>
      <c r="I36" s="23">
        <f>-'P&amp;L'!H18</f>
        <v>-14574</v>
      </c>
      <c r="J36" s="54">
        <f t="shared" ref="J36:S36" si="20">-J29*J15</f>
        <v>-14992.582012895627</v>
      </c>
      <c r="K36" s="54">
        <f t="shared" si="20"/>
        <v>-15760.466762337544</v>
      </c>
      <c r="L36" s="54">
        <f t="shared" si="20"/>
        <v>-16519.247920702874</v>
      </c>
      <c r="M36" s="54">
        <f t="shared" si="20"/>
        <v>-17266.841542510792</v>
      </c>
      <c r="N36" s="54">
        <f t="shared" si="20"/>
        <v>-18001.38259594368</v>
      </c>
      <c r="O36" s="54">
        <f t="shared" si="20"/>
        <v>-18721.224104453246</v>
      </c>
      <c r="P36" s="54">
        <f t="shared" si="20"/>
        <v>-19424.933126854667</v>
      </c>
      <c r="Q36" s="54">
        <f t="shared" si="20"/>
        <v>-20111.284114758324</v>
      </c>
      <c r="R36" s="54">
        <f t="shared" si="20"/>
        <v>-20779.250158822942</v>
      </c>
      <c r="S36" s="54">
        <f t="shared" si="20"/>
        <v>-21427.992598198587</v>
      </c>
    </row>
    <row r="37" spans="1:19" x14ac:dyDescent="0.3">
      <c r="J37" s="54"/>
      <c r="K37" s="54"/>
      <c r="L37" s="54"/>
      <c r="M37" s="54"/>
      <c r="N37" s="54"/>
      <c r="O37" s="54"/>
      <c r="P37" s="54"/>
      <c r="Q37" s="54"/>
      <c r="R37" s="54"/>
      <c r="S37" s="54"/>
    </row>
    <row r="38" spans="1:19" x14ac:dyDescent="0.3">
      <c r="B38" s="21" t="s">
        <v>166</v>
      </c>
      <c r="C38" s="8"/>
      <c r="D38" s="8"/>
      <c r="E38" s="25">
        <f>SUM(E32:E36)</f>
        <v>12857</v>
      </c>
      <c r="F38" s="25">
        <f t="shared" ref="F38:S38" si="21">SUM(F32:F36)</f>
        <v>14149</v>
      </c>
      <c r="G38" s="25">
        <f t="shared" si="21"/>
        <v>14663</v>
      </c>
      <c r="H38" s="25">
        <f t="shared" si="21"/>
        <v>14851</v>
      </c>
      <c r="I38" s="25">
        <f t="shared" si="21"/>
        <v>15054</v>
      </c>
      <c r="J38" s="55">
        <f t="shared" si="21"/>
        <v>16103.165577391263</v>
      </c>
      <c r="K38" s="55">
        <f t="shared" si="21"/>
        <v>16927.931802046958</v>
      </c>
      <c r="L38" s="55">
        <f t="shared" si="21"/>
        <v>17742.920082227909</v>
      </c>
      <c r="M38" s="55">
        <f t="shared" si="21"/>
        <v>18545.892103072601</v>
      </c>
      <c r="N38" s="55">
        <f t="shared" si="21"/>
        <v>19334.844679529895</v>
      </c>
      <c r="O38" s="55">
        <f t="shared" si="21"/>
        <v>20108.008834379139</v>
      </c>
      <c r="P38" s="55">
        <f t="shared" si="21"/>
        <v>20863.845480547716</v>
      </c>
      <c r="Q38" s="55">
        <f t="shared" si="21"/>
        <v>21601.038286490817</v>
      </c>
      <c r="R38" s="55">
        <f t="shared" si="21"/>
        <v>22318.484274006216</v>
      </c>
      <c r="S38" s="55">
        <f t="shared" si="21"/>
        <v>23015.28265799112</v>
      </c>
    </row>
    <row r="39" spans="1:19" x14ac:dyDescent="0.3">
      <c r="B39" t="s">
        <v>167</v>
      </c>
      <c r="E39" s="23">
        <f>-'P&amp;L'!D17</f>
        <v>-1091</v>
      </c>
      <c r="F39" s="23">
        <f>-'P&amp;L'!E17</f>
        <v>-1137</v>
      </c>
      <c r="G39" s="23">
        <f>-'P&amp;L'!F17</f>
        <v>-1216</v>
      </c>
      <c r="H39" s="23">
        <f>-'P&amp;L'!G17</f>
        <v>-1355</v>
      </c>
      <c r="I39" s="23">
        <f>-'P&amp;L'!H17</f>
        <v>-1333</v>
      </c>
      <c r="J39" s="54">
        <f>J141</f>
        <v>-1116.9571831175722</v>
      </c>
      <c r="K39" s="54">
        <f t="shared" ref="K39:S39" si="22">K141</f>
        <v>-1025.4912997304771</v>
      </c>
      <c r="L39" s="54">
        <f t="shared" si="22"/>
        <v>-946.13023285787062</v>
      </c>
      <c r="M39" s="54">
        <f t="shared" si="22"/>
        <v>-877.03747958452288</v>
      </c>
      <c r="N39" s="54">
        <f t="shared" si="22"/>
        <v>-816.64297715355315</v>
      </c>
      <c r="O39" s="54">
        <f t="shared" si="22"/>
        <v>-763.60711917988408</v>
      </c>
      <c r="P39" s="54">
        <f t="shared" si="22"/>
        <v>-716.78939287198966</v>
      </c>
      <c r="Q39" s="54">
        <f t="shared" si="22"/>
        <v>-675.22104611222403</v>
      </c>
      <c r="R39" s="54">
        <f t="shared" si="22"/>
        <v>-638.08127356199725</v>
      </c>
      <c r="S39" s="54">
        <f t="shared" si="22"/>
        <v>-604.67647920846468</v>
      </c>
    </row>
    <row r="40" spans="1:19" x14ac:dyDescent="0.3">
      <c r="J40" s="54"/>
      <c r="K40" s="54"/>
      <c r="L40" s="54"/>
      <c r="M40" s="54"/>
      <c r="N40" s="54"/>
      <c r="O40" s="54"/>
      <c r="P40" s="54"/>
      <c r="Q40" s="54"/>
      <c r="R40" s="54"/>
      <c r="S40" s="54"/>
    </row>
    <row r="41" spans="1:19" x14ac:dyDescent="0.3">
      <c r="B41" s="21" t="s">
        <v>168</v>
      </c>
      <c r="C41" s="8"/>
      <c r="D41" s="8"/>
      <c r="E41" s="25">
        <f>SUM(E38:E39)</f>
        <v>11766</v>
      </c>
      <c r="F41" s="25">
        <f t="shared" ref="F41:I41" si="23">SUM(F38:F39)</f>
        <v>13012</v>
      </c>
      <c r="G41" s="25">
        <f t="shared" si="23"/>
        <v>13447</v>
      </c>
      <c r="H41" s="25">
        <f t="shared" si="23"/>
        <v>13496</v>
      </c>
      <c r="I41" s="25">
        <f t="shared" si="23"/>
        <v>13721</v>
      </c>
      <c r="J41" s="55">
        <f>SUM(J38:J39)</f>
        <v>14986.20839427369</v>
      </c>
      <c r="K41" s="55">
        <f t="shared" ref="K41:S41" si="24">SUM(K38:K39)</f>
        <v>15902.440502316482</v>
      </c>
      <c r="L41" s="55">
        <f t="shared" si="24"/>
        <v>16796.789849370038</v>
      </c>
      <c r="M41" s="55">
        <f t="shared" si="24"/>
        <v>17668.854623488078</v>
      </c>
      <c r="N41" s="55">
        <f t="shared" si="24"/>
        <v>18518.20170237634</v>
      </c>
      <c r="O41" s="55">
        <f t="shared" si="24"/>
        <v>19344.401715199256</v>
      </c>
      <c r="P41" s="55">
        <f t="shared" si="24"/>
        <v>20147.056087675726</v>
      </c>
      <c r="Q41" s="55">
        <f t="shared" si="24"/>
        <v>20925.817240378594</v>
      </c>
      <c r="R41" s="55">
        <f t="shared" si="24"/>
        <v>21680.403000444217</v>
      </c>
      <c r="S41" s="55">
        <f t="shared" si="24"/>
        <v>22410.606178782655</v>
      </c>
    </row>
    <row r="42" spans="1:19" x14ac:dyDescent="0.3">
      <c r="B42" t="s">
        <v>169</v>
      </c>
      <c r="E42" s="23">
        <f>-'P&amp;L'!D16</f>
        <v>-106</v>
      </c>
      <c r="F42" s="23">
        <f>-'P&amp;L'!E16</f>
        <v>-114</v>
      </c>
      <c r="G42" s="23">
        <f>-'P&amp;L'!F16</f>
        <v>-334</v>
      </c>
      <c r="H42" s="23">
        <f>-'P&amp;L'!G16</f>
        <v>-395</v>
      </c>
      <c r="I42" s="23">
        <f>-'P&amp;L'!H16</f>
        <v>-410</v>
      </c>
      <c r="J42" s="54">
        <f>J148</f>
        <v>-265.52390850607469</v>
      </c>
      <c r="K42" s="54">
        <f t="shared" ref="K42:S42" si="25">K148</f>
        <v>-265.52390850607469</v>
      </c>
      <c r="L42" s="54">
        <f t="shared" si="25"/>
        <v>-265.52390850607469</v>
      </c>
      <c r="M42" s="54">
        <f t="shared" si="25"/>
        <v>-265.52390850607469</v>
      </c>
      <c r="N42" s="54">
        <f t="shared" si="25"/>
        <v>-265.52390850607469</v>
      </c>
      <c r="O42" s="54">
        <f t="shared" si="25"/>
        <v>-265.52390850607469</v>
      </c>
      <c r="P42" s="54">
        <f t="shared" si="25"/>
        <v>-265.52390850607469</v>
      </c>
      <c r="Q42" s="54">
        <f t="shared" si="25"/>
        <v>-265.52390850607469</v>
      </c>
      <c r="R42" s="54">
        <f t="shared" si="25"/>
        <v>-265.52390850607469</v>
      </c>
      <c r="S42" s="54">
        <f t="shared" si="25"/>
        <v>-265.52390850607469</v>
      </c>
    </row>
    <row r="43" spans="1:19" x14ac:dyDescent="0.3">
      <c r="B43" t="s">
        <v>170</v>
      </c>
      <c r="E43" s="23">
        <f>'P&amp;L'!D8</f>
        <v>258</v>
      </c>
      <c r="F43" s="23">
        <f>'P&amp;L'!E8</f>
        <v>512</v>
      </c>
      <c r="G43" s="23">
        <f>'P&amp;L'!F8</f>
        <v>811</v>
      </c>
      <c r="H43" s="23">
        <f>'P&amp;L'!G8</f>
        <v>1017</v>
      </c>
      <c r="I43" s="23">
        <f>'P&amp;L'!H8</f>
        <v>751</v>
      </c>
      <c r="J43" s="54">
        <f t="shared" ref="J43:S43" si="26">J29*J18</f>
        <v>737.3822062700317</v>
      </c>
      <c r="K43" s="54">
        <f t="shared" si="26"/>
        <v>775.14918664856566</v>
      </c>
      <c r="L43" s="54">
        <f t="shared" si="26"/>
        <v>812.46842386536412</v>
      </c>
      <c r="M43" s="54">
        <f t="shared" si="26"/>
        <v>849.23742294557383</v>
      </c>
      <c r="N43" s="54">
        <f t="shared" si="26"/>
        <v>885.36445577490065</v>
      </c>
      <c r="O43" s="54">
        <f t="shared" si="26"/>
        <v>920.76851888110696</v>
      </c>
      <c r="P43" s="54">
        <f t="shared" si="26"/>
        <v>955.37913572243303</v>
      </c>
      <c r="Q43" s="54">
        <f t="shared" si="26"/>
        <v>989.13602998525562</v>
      </c>
      <c r="R43" s="54">
        <f t="shared" si="26"/>
        <v>1021.9886950473629</v>
      </c>
      <c r="S43" s="54">
        <f t="shared" si="26"/>
        <v>1053.8958829377711</v>
      </c>
    </row>
    <row r="44" spans="1:19" x14ac:dyDescent="0.3">
      <c r="J44" s="54"/>
      <c r="K44" s="54"/>
      <c r="L44" s="54"/>
      <c r="M44" s="54"/>
      <c r="N44" s="54"/>
      <c r="O44" s="54"/>
      <c r="P44" s="54"/>
      <c r="Q44" s="54"/>
      <c r="R44" s="54"/>
      <c r="S44" s="54"/>
    </row>
    <row r="45" spans="1:19" x14ac:dyDescent="0.3">
      <c r="B45" s="21" t="s">
        <v>171</v>
      </c>
      <c r="C45" s="8"/>
      <c r="D45" s="8"/>
      <c r="E45" s="25">
        <f>SUM(E41:E43)</f>
        <v>11918</v>
      </c>
      <c r="F45" s="25">
        <f t="shared" ref="F45:S45" si="27">SUM(F41:F43)</f>
        <v>13410</v>
      </c>
      <c r="G45" s="25">
        <f t="shared" si="27"/>
        <v>13924</v>
      </c>
      <c r="H45" s="25">
        <f t="shared" si="27"/>
        <v>14118</v>
      </c>
      <c r="I45" s="25">
        <f t="shared" si="27"/>
        <v>14062</v>
      </c>
      <c r="J45" s="55">
        <f t="shared" si="27"/>
        <v>15458.066692037646</v>
      </c>
      <c r="K45" s="55">
        <f t="shared" si="27"/>
        <v>16412.065780458972</v>
      </c>
      <c r="L45" s="55">
        <f t="shared" si="27"/>
        <v>17343.734364729327</v>
      </c>
      <c r="M45" s="55">
        <f t="shared" si="27"/>
        <v>18252.568137927577</v>
      </c>
      <c r="N45" s="55">
        <f t="shared" si="27"/>
        <v>19138.042249645165</v>
      </c>
      <c r="O45" s="55">
        <f t="shared" si="27"/>
        <v>19999.646325574289</v>
      </c>
      <c r="P45" s="55">
        <f t="shared" si="27"/>
        <v>20836.911314892084</v>
      </c>
      <c r="Q45" s="55">
        <f t="shared" si="27"/>
        <v>21649.429361857776</v>
      </c>
      <c r="R45" s="55">
        <f t="shared" si="27"/>
        <v>22436.867786985506</v>
      </c>
      <c r="S45" s="55">
        <f t="shared" si="27"/>
        <v>23198.97815321435</v>
      </c>
    </row>
    <row r="46" spans="1:19" x14ac:dyDescent="0.3">
      <c r="A46" s="92"/>
      <c r="B46" t="s">
        <v>68</v>
      </c>
      <c r="E46" s="23">
        <f>'P&amp;L'!D23</f>
        <v>0</v>
      </c>
      <c r="F46" s="23">
        <f>'P&amp;L'!E23</f>
        <v>-1</v>
      </c>
      <c r="G46" s="23">
        <f>'P&amp;L'!F23</f>
        <v>-4</v>
      </c>
      <c r="H46" s="23">
        <f>'P&amp;L'!G23</f>
        <v>-8</v>
      </c>
      <c r="I46" s="23">
        <f>'P&amp;L'!H23</f>
        <v>-15</v>
      </c>
      <c r="J46" s="54">
        <f>I46</f>
        <v>-15</v>
      </c>
      <c r="K46" s="54">
        <f t="shared" ref="K46:S46" si="28">J46</f>
        <v>-15</v>
      </c>
      <c r="L46" s="54">
        <f t="shared" si="28"/>
        <v>-15</v>
      </c>
      <c r="M46" s="54">
        <f t="shared" si="28"/>
        <v>-15</v>
      </c>
      <c r="N46" s="54">
        <f t="shared" si="28"/>
        <v>-15</v>
      </c>
      <c r="O46" s="54">
        <f t="shared" si="28"/>
        <v>-15</v>
      </c>
      <c r="P46" s="54">
        <f t="shared" si="28"/>
        <v>-15</v>
      </c>
      <c r="Q46" s="54">
        <f t="shared" si="28"/>
        <v>-15</v>
      </c>
      <c r="R46" s="54">
        <f t="shared" si="28"/>
        <v>-15</v>
      </c>
      <c r="S46" s="54">
        <f t="shared" si="28"/>
        <v>-15</v>
      </c>
    </row>
    <row r="47" spans="1:19" x14ac:dyDescent="0.3">
      <c r="B47" t="s">
        <v>172</v>
      </c>
      <c r="E47" s="23">
        <f>'P&amp;L'!D25</f>
        <v>-44</v>
      </c>
      <c r="F47" s="23">
        <f>'P&amp;L'!E25</f>
        <v>-64</v>
      </c>
      <c r="G47" s="23">
        <f>'P&amp;L'!F25</f>
        <v>6</v>
      </c>
      <c r="H47" s="23">
        <f>'P&amp;L'!G25</f>
        <v>305</v>
      </c>
      <c r="I47" s="23">
        <f>'P&amp;L'!H25</f>
        <v>-235</v>
      </c>
      <c r="J47" s="54">
        <f>I47</f>
        <v>-235</v>
      </c>
      <c r="K47" s="54">
        <f t="shared" ref="K47:S47" si="29">J47</f>
        <v>-235</v>
      </c>
      <c r="L47" s="54">
        <f t="shared" si="29"/>
        <v>-235</v>
      </c>
      <c r="M47" s="54">
        <f t="shared" si="29"/>
        <v>-235</v>
      </c>
      <c r="N47" s="54">
        <f t="shared" si="29"/>
        <v>-235</v>
      </c>
      <c r="O47" s="54">
        <f t="shared" si="29"/>
        <v>-235</v>
      </c>
      <c r="P47" s="54">
        <f t="shared" si="29"/>
        <v>-235</v>
      </c>
      <c r="Q47" s="54">
        <f t="shared" si="29"/>
        <v>-235</v>
      </c>
      <c r="R47" s="54">
        <f t="shared" si="29"/>
        <v>-235</v>
      </c>
      <c r="S47" s="54">
        <f t="shared" si="29"/>
        <v>-235</v>
      </c>
    </row>
    <row r="48" spans="1:19" x14ac:dyDescent="0.3">
      <c r="J48" s="54"/>
      <c r="K48" s="54"/>
      <c r="L48" s="54"/>
      <c r="M48" s="54"/>
      <c r="N48" s="54"/>
      <c r="O48" s="54"/>
      <c r="P48" s="54"/>
      <c r="Q48" s="54"/>
      <c r="R48" s="54"/>
      <c r="S48" s="54"/>
    </row>
    <row r="49" spans="2:19" x14ac:dyDescent="0.3">
      <c r="B49" s="21" t="s">
        <v>173</v>
      </c>
      <c r="C49" s="8"/>
      <c r="D49" s="8"/>
      <c r="E49" s="25">
        <f>SUM(E45:E47)</f>
        <v>11874</v>
      </c>
      <c r="F49" s="25">
        <f t="shared" ref="F49:I49" si="30">SUM(F45:F47)</f>
        <v>13345</v>
      </c>
      <c r="G49" s="25">
        <f t="shared" si="30"/>
        <v>13926</v>
      </c>
      <c r="H49" s="25">
        <f t="shared" si="30"/>
        <v>14415</v>
      </c>
      <c r="I49" s="25">
        <f t="shared" si="30"/>
        <v>13812</v>
      </c>
      <c r="J49" s="55">
        <f>SUM(J45:J47)</f>
        <v>15208.066692037646</v>
      </c>
      <c r="K49" s="55">
        <f t="shared" ref="K49:S49" si="31">SUM(K45:K47)</f>
        <v>16162.065780458972</v>
      </c>
      <c r="L49" s="55">
        <f t="shared" si="31"/>
        <v>17093.734364729327</v>
      </c>
      <c r="M49" s="55">
        <f t="shared" si="31"/>
        <v>18002.568137927577</v>
      </c>
      <c r="N49" s="55">
        <f t="shared" si="31"/>
        <v>18888.042249645165</v>
      </c>
      <c r="O49" s="55">
        <f t="shared" si="31"/>
        <v>19749.646325574289</v>
      </c>
      <c r="P49" s="55">
        <f t="shared" si="31"/>
        <v>20586.911314892084</v>
      </c>
      <c r="Q49" s="55">
        <f t="shared" si="31"/>
        <v>21399.429361857776</v>
      </c>
      <c r="R49" s="55">
        <f t="shared" si="31"/>
        <v>22186.867786985506</v>
      </c>
      <c r="S49" s="55">
        <f t="shared" si="31"/>
        <v>22948.97815321435</v>
      </c>
    </row>
    <row r="50" spans="2:19" x14ac:dyDescent="0.3">
      <c r="B50" t="s">
        <v>174</v>
      </c>
      <c r="E50" s="23">
        <f>SUM('P&amp;L'!D30:D31,'P&amp;L'!D36)</f>
        <v>-2982</v>
      </c>
      <c r="F50" s="23">
        <f>SUM('P&amp;L'!E30:E31,'P&amp;L'!E36)</f>
        <v>-3202</v>
      </c>
      <c r="G50" s="23">
        <f>SUM('P&amp;L'!F30:F31,'P&amp;L'!F36)</f>
        <v>-3644</v>
      </c>
      <c r="H50" s="23">
        <f>SUM('P&amp;L'!G30:G31,'P&amp;L'!G36)</f>
        <v>-3744</v>
      </c>
      <c r="I50" s="23">
        <f>SUM('P&amp;L'!H30:H31,'P&amp;L'!H36)</f>
        <v>-3160</v>
      </c>
      <c r="J50" s="54">
        <f>-J49*J19</f>
        <v>-3775.438514593965</v>
      </c>
      <c r="K50" s="54">
        <f t="shared" ref="K50:S50" si="32">-K49*K19</f>
        <v>-4012.2710439515031</v>
      </c>
      <c r="L50" s="54">
        <f t="shared" si="32"/>
        <v>-4243.5599728548159</v>
      </c>
      <c r="M50" s="54">
        <f t="shared" si="32"/>
        <v>-4469.1801059183363</v>
      </c>
      <c r="N50" s="54">
        <f t="shared" si="32"/>
        <v>-4689.0011477871722</v>
      </c>
      <c r="O50" s="54">
        <f t="shared" si="32"/>
        <v>-4902.8963968326725</v>
      </c>
      <c r="P50" s="54">
        <f t="shared" si="32"/>
        <v>-5110.7494100790245</v>
      </c>
      <c r="Q50" s="54">
        <f t="shared" si="32"/>
        <v>-5312.4589363742389</v>
      </c>
      <c r="R50" s="54">
        <f t="shared" si="32"/>
        <v>-5507.9423872493553</v>
      </c>
      <c r="S50" s="54">
        <f t="shared" si="32"/>
        <v>-5697.1380876165913</v>
      </c>
    </row>
    <row r="51" spans="2:19" x14ac:dyDescent="0.3">
      <c r="E51" s="23"/>
      <c r="F51" s="23"/>
      <c r="G51" s="23"/>
      <c r="H51" s="23"/>
      <c r="I51" s="23"/>
      <c r="J51" s="54"/>
      <c r="K51" s="54"/>
      <c r="L51" s="54"/>
      <c r="M51" s="54"/>
      <c r="N51" s="54"/>
      <c r="O51" s="54"/>
      <c r="P51" s="54"/>
      <c r="Q51" s="54"/>
      <c r="R51" s="54"/>
      <c r="S51" s="54"/>
    </row>
    <row r="52" spans="2:19" x14ac:dyDescent="0.3">
      <c r="B52" s="21" t="s">
        <v>175</v>
      </c>
      <c r="C52" s="8"/>
      <c r="D52" s="8"/>
      <c r="E52" s="24">
        <f>SUM(E49:E50)</f>
        <v>8892</v>
      </c>
      <c r="F52" s="24">
        <f t="shared" ref="F52:I52" si="33">SUM(F49:F50)</f>
        <v>10143</v>
      </c>
      <c r="G52" s="24">
        <f t="shared" si="33"/>
        <v>10282</v>
      </c>
      <c r="H52" s="24">
        <f t="shared" si="33"/>
        <v>10671</v>
      </c>
      <c r="I52" s="24">
        <f t="shared" si="33"/>
        <v>10652</v>
      </c>
      <c r="J52" s="55">
        <f>SUM(J49:J50)</f>
        <v>11432.628177443681</v>
      </c>
      <c r="K52" s="55">
        <f t="shared" ref="K52:S52" si="34">SUM(K49:K50)</f>
        <v>12149.794736507469</v>
      </c>
      <c r="L52" s="55">
        <f t="shared" si="34"/>
        <v>12850.174391874512</v>
      </c>
      <c r="M52" s="55">
        <f t="shared" si="34"/>
        <v>13533.388032009241</v>
      </c>
      <c r="N52" s="55">
        <f t="shared" si="34"/>
        <v>14199.041101857993</v>
      </c>
      <c r="O52" s="55">
        <f t="shared" si="34"/>
        <v>14846.749928741618</v>
      </c>
      <c r="P52" s="55">
        <f t="shared" si="34"/>
        <v>15476.16190481306</v>
      </c>
      <c r="Q52" s="55">
        <f t="shared" si="34"/>
        <v>16086.970425483538</v>
      </c>
      <c r="R52" s="55">
        <f t="shared" si="34"/>
        <v>16678.925399736152</v>
      </c>
      <c r="S52" s="55">
        <f t="shared" si="34"/>
        <v>17251.84006559776</v>
      </c>
    </row>
    <row r="53" spans="2:19" x14ac:dyDescent="0.3">
      <c r="J53" s="56"/>
      <c r="K53" s="56"/>
      <c r="L53" s="56"/>
      <c r="M53" s="56"/>
      <c r="N53" s="56"/>
      <c r="O53" s="56"/>
      <c r="P53" s="56"/>
      <c r="Q53" s="56"/>
      <c r="R53" s="56"/>
      <c r="S53" s="56"/>
    </row>
    <row r="54" spans="2:19" x14ac:dyDescent="0.3">
      <c r="B54" s="21" t="s">
        <v>176</v>
      </c>
      <c r="C54" s="8"/>
      <c r="D54" s="8"/>
      <c r="E54" s="25">
        <f>SUM(E49:E50)</f>
        <v>8892</v>
      </c>
      <c r="F54" s="25">
        <f t="shared" ref="F54:I54" si="35">SUM(F49:F50)</f>
        <v>10143</v>
      </c>
      <c r="G54" s="25">
        <f t="shared" si="35"/>
        <v>10282</v>
      </c>
      <c r="H54" s="25">
        <f t="shared" si="35"/>
        <v>10671</v>
      </c>
      <c r="I54" s="25">
        <f t="shared" si="35"/>
        <v>10652</v>
      </c>
      <c r="J54" s="57">
        <f t="shared" ref="J54:S54" si="36">SUM(J52:J52)</f>
        <v>11432.628177443681</v>
      </c>
      <c r="K54" s="57">
        <f t="shared" si="36"/>
        <v>12149.794736507469</v>
      </c>
      <c r="L54" s="57">
        <f t="shared" si="36"/>
        <v>12850.174391874512</v>
      </c>
      <c r="M54" s="57">
        <f t="shared" si="36"/>
        <v>13533.388032009241</v>
      </c>
      <c r="N54" s="57">
        <f t="shared" si="36"/>
        <v>14199.041101857993</v>
      </c>
      <c r="O54" s="57">
        <f t="shared" si="36"/>
        <v>14846.749928741618</v>
      </c>
      <c r="P54" s="57">
        <f t="shared" si="36"/>
        <v>15476.16190481306</v>
      </c>
      <c r="Q54" s="57">
        <f t="shared" si="36"/>
        <v>16086.970425483538</v>
      </c>
      <c r="R54" s="57">
        <f t="shared" si="36"/>
        <v>16678.925399736152</v>
      </c>
      <c r="S54" s="57">
        <f t="shared" si="36"/>
        <v>17251.84006559776</v>
      </c>
    </row>
    <row r="56" spans="2:19" ht="18" x14ac:dyDescent="0.35">
      <c r="B56" s="19" t="s">
        <v>178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8" spans="2:19" ht="15.6" x14ac:dyDescent="0.3">
      <c r="B58" s="20" t="s">
        <v>179</v>
      </c>
    </row>
    <row r="59" spans="2:19" x14ac:dyDescent="0.3">
      <c r="B59" s="4" t="s">
        <v>18</v>
      </c>
    </row>
    <row r="60" spans="2:19" x14ac:dyDescent="0.3">
      <c r="B60" s="26" t="s">
        <v>22</v>
      </c>
      <c r="E60" s="22">
        <f>BS!D28</f>
        <v>1147</v>
      </c>
      <c r="F60" s="22">
        <f>BS!E28</f>
        <v>714</v>
      </c>
      <c r="G60" s="22">
        <f>BS!F28</f>
        <v>825</v>
      </c>
      <c r="H60" s="22">
        <f>BS!G28</f>
        <v>6071</v>
      </c>
      <c r="I60" s="22">
        <f>BS!H28</f>
        <v>2583</v>
      </c>
      <c r="J60" s="54">
        <f>J127</f>
        <v>2490.859758578883</v>
      </c>
      <c r="K60" s="54">
        <f t="shared" ref="K60:S60" si="37">K127</f>
        <v>3952.0435397117199</v>
      </c>
      <c r="L60" s="54">
        <f t="shared" si="37"/>
        <v>5375.388155270748</v>
      </c>
      <c r="M60" s="54">
        <f t="shared" si="37"/>
        <v>6770.9019035370111</v>
      </c>
      <c r="N60" s="54">
        <f t="shared" si="37"/>
        <v>8146.9373109440985</v>
      </c>
      <c r="O60" s="54">
        <f t="shared" si="37"/>
        <v>9510.4212741122774</v>
      </c>
      <c r="P60" s="54">
        <f t="shared" si="37"/>
        <v>10867.056034574352</v>
      </c>
      <c r="Q60" s="54">
        <f t="shared" si="37"/>
        <v>12221.4945659644</v>
      </c>
      <c r="R60" s="54">
        <f t="shared" si="37"/>
        <v>13577.493492844391</v>
      </c>
      <c r="S60" s="54">
        <f t="shared" si="37"/>
        <v>14938.046266865054</v>
      </c>
    </row>
    <row r="61" spans="2:19" x14ac:dyDescent="0.3">
      <c r="B61" s="26" t="s">
        <v>180</v>
      </c>
      <c r="E61" s="22">
        <f>BS!D29</f>
        <v>2699</v>
      </c>
      <c r="F61" s="22">
        <f>BS!E29</f>
        <v>3964</v>
      </c>
      <c r="G61" s="22">
        <f>BS!F29</f>
        <v>6734</v>
      </c>
      <c r="H61" s="22">
        <f>BS!G29</f>
        <v>1483</v>
      </c>
      <c r="I61" s="22">
        <f>BS!H29</f>
        <v>665</v>
      </c>
      <c r="J61" s="54">
        <f>I61</f>
        <v>665</v>
      </c>
      <c r="K61" s="54">
        <f t="shared" ref="K61:S61" si="38">J61</f>
        <v>665</v>
      </c>
      <c r="L61" s="54">
        <f t="shared" si="38"/>
        <v>665</v>
      </c>
      <c r="M61" s="54">
        <f t="shared" si="38"/>
        <v>665</v>
      </c>
      <c r="N61" s="54">
        <f t="shared" si="38"/>
        <v>665</v>
      </c>
      <c r="O61" s="54">
        <f t="shared" si="38"/>
        <v>665</v>
      </c>
      <c r="P61" s="54">
        <f t="shared" si="38"/>
        <v>665</v>
      </c>
      <c r="Q61" s="54">
        <f t="shared" si="38"/>
        <v>665</v>
      </c>
      <c r="R61" s="54">
        <f t="shared" si="38"/>
        <v>665</v>
      </c>
      <c r="S61" s="54">
        <f t="shared" si="38"/>
        <v>665</v>
      </c>
    </row>
    <row r="62" spans="2:19" x14ac:dyDescent="0.3">
      <c r="B62" t="s">
        <v>181</v>
      </c>
      <c r="E62" s="22">
        <f>BS!D27</f>
        <v>2236</v>
      </c>
      <c r="F62" s="22">
        <f>BS!E27</f>
        <v>3079</v>
      </c>
      <c r="G62" s="22">
        <f>BS!F27</f>
        <v>2997</v>
      </c>
      <c r="H62" s="22">
        <f>BS!G27</f>
        <v>3819</v>
      </c>
      <c r="I62" s="22">
        <f>BS!H27</f>
        <v>3379</v>
      </c>
      <c r="J62" s="54">
        <f>(J29*J21)/365</f>
        <v>3464.2407712505283</v>
      </c>
      <c r="K62" s="54">
        <f>(K29*K21)/365</f>
        <v>3641.6710267162052</v>
      </c>
      <c r="L62" s="54">
        <f>(L29*L21)/365</f>
        <v>3816.9977731702133</v>
      </c>
      <c r="M62" s="54">
        <f>(M29*M21)/365</f>
        <v>3989.7394865566221</v>
      </c>
      <c r="N62" s="54">
        <f>(N29*N21)/365</f>
        <v>4159.4652258102606</v>
      </c>
      <c r="O62" s="54">
        <f t="shared" ref="O62:S62" si="39">(O29*O21)/365</f>
        <v>4325.7944345130982</v>
      </c>
      <c r="P62" s="54">
        <f t="shared" si="39"/>
        <v>4488.3960120401052</v>
      </c>
      <c r="Q62" s="54">
        <f t="shared" si="39"/>
        <v>4646.9867787031653</v>
      </c>
      <c r="R62" s="54">
        <f t="shared" si="39"/>
        <v>4801.3294530783478</v>
      </c>
      <c r="S62" s="54">
        <f t="shared" si="39"/>
        <v>4951.2302511258467</v>
      </c>
    </row>
    <row r="63" spans="2:19" x14ac:dyDescent="0.3">
      <c r="B63" t="s">
        <v>19</v>
      </c>
      <c r="E63" s="22">
        <f>BS!D24</f>
        <v>4096</v>
      </c>
      <c r="F63" s="22">
        <f>BS!E24</f>
        <v>4251</v>
      </c>
      <c r="G63" s="22">
        <f>BS!F24</f>
        <v>4022</v>
      </c>
      <c r="H63" s="22">
        <f>BS!G24</f>
        <v>4415</v>
      </c>
      <c r="I63" s="22">
        <f>BS!H24</f>
        <v>4789</v>
      </c>
      <c r="J63" s="54">
        <f>-(J30*J22)/365</f>
        <v>4863.7895823490653</v>
      </c>
      <c r="K63" s="54">
        <f>-(K30*K22)/365</f>
        <v>5112.9014325672506</v>
      </c>
      <c r="L63" s="54">
        <f>-(L30*L22)/365</f>
        <v>5359.059958841488</v>
      </c>
      <c r="M63" s="54">
        <f>-(M30*M22)/365</f>
        <v>5601.5891020172539</v>
      </c>
      <c r="N63" s="54">
        <f>-(N30*N22)/365</f>
        <v>5839.883821393918</v>
      </c>
      <c r="O63" s="54">
        <f t="shared" ref="O63:S63" si="40">-(O30*O22)/365</f>
        <v>6073.4098162505607</v>
      </c>
      <c r="P63" s="54">
        <f t="shared" si="40"/>
        <v>6301.7022217359599</v>
      </c>
      <c r="Q63" s="54">
        <f t="shared" si="40"/>
        <v>6524.3634539326176</v>
      </c>
      <c r="R63" s="54">
        <f t="shared" si="40"/>
        <v>6741.0603700268557</v>
      </c>
      <c r="S63" s="54">
        <f t="shared" si="40"/>
        <v>6951.5208974762936</v>
      </c>
    </row>
    <row r="64" spans="2:19" x14ac:dyDescent="0.3">
      <c r="B64" t="s">
        <v>25</v>
      </c>
      <c r="E64" s="22">
        <f>SUM(BS!D31:D34)</f>
        <v>1790</v>
      </c>
      <c r="F64" s="22">
        <f>SUM(BS!E31:E34)</f>
        <v>2143</v>
      </c>
      <c r="G64" s="22">
        <f>SUM(BS!F31:F34)</f>
        <v>2150</v>
      </c>
      <c r="H64" s="22">
        <f>SUM(BS!G31:G34)</f>
        <v>2466</v>
      </c>
      <c r="I64" s="22">
        <f>SUM(BS!H31:H34)</f>
        <v>3308</v>
      </c>
      <c r="J64" s="54">
        <f>I64</f>
        <v>3308</v>
      </c>
      <c r="K64" s="54">
        <f t="shared" ref="K64:S64" si="41">J64</f>
        <v>3308</v>
      </c>
      <c r="L64" s="54">
        <f t="shared" si="41"/>
        <v>3308</v>
      </c>
      <c r="M64" s="54">
        <f t="shared" si="41"/>
        <v>3308</v>
      </c>
      <c r="N64" s="54">
        <f t="shared" si="41"/>
        <v>3308</v>
      </c>
      <c r="O64" s="54">
        <f t="shared" si="41"/>
        <v>3308</v>
      </c>
      <c r="P64" s="54">
        <f t="shared" si="41"/>
        <v>3308</v>
      </c>
      <c r="Q64" s="54">
        <f t="shared" si="41"/>
        <v>3308</v>
      </c>
      <c r="R64" s="54">
        <f t="shared" si="41"/>
        <v>3308</v>
      </c>
      <c r="S64" s="54">
        <f t="shared" si="41"/>
        <v>3308</v>
      </c>
    </row>
    <row r="65" spans="2:19" x14ac:dyDescent="0.3">
      <c r="E65" s="22"/>
      <c r="F65" s="22"/>
      <c r="G65" s="22"/>
      <c r="H65" s="22"/>
      <c r="I65" s="22"/>
    </row>
    <row r="66" spans="2:19" x14ac:dyDescent="0.3">
      <c r="B66" s="4" t="s">
        <v>4</v>
      </c>
      <c r="E66" s="22"/>
      <c r="F66" s="22"/>
      <c r="G66" s="22"/>
      <c r="H66" s="22"/>
      <c r="I66" s="22"/>
    </row>
    <row r="67" spans="2:19" x14ac:dyDescent="0.3">
      <c r="B67" t="s">
        <v>5</v>
      </c>
      <c r="E67" s="22">
        <f>BS!D9</f>
        <v>6169</v>
      </c>
      <c r="F67" s="22">
        <f>BS!E9</f>
        <v>6949</v>
      </c>
      <c r="G67" s="22">
        <f>BS!F9</f>
        <v>8031</v>
      </c>
      <c r="H67" s="22">
        <f>BS!G9</f>
        <v>8625</v>
      </c>
      <c r="I67" s="22">
        <f>BS!H9</f>
        <v>8182</v>
      </c>
      <c r="J67" s="54">
        <f>J142</f>
        <v>7511.9887684285222</v>
      </c>
      <c r="K67" s="54">
        <f t="shared" ref="K67:S67" si="42">K142</f>
        <v>6930.6484458395262</v>
      </c>
      <c r="L67" s="54">
        <f t="shared" si="42"/>
        <v>6424.5261738069867</v>
      </c>
      <c r="M67" s="54">
        <f t="shared" si="42"/>
        <v>5982.1208369157694</v>
      </c>
      <c r="N67" s="54">
        <f t="shared" si="42"/>
        <v>5593.6194722265882</v>
      </c>
      <c r="O67" s="54">
        <f t="shared" si="42"/>
        <v>5250.6675288208307</v>
      </c>
      <c r="P67" s="54">
        <f t="shared" si="42"/>
        <v>4946.1686471008488</v>
      </c>
      <c r="Q67" s="54">
        <f t="shared" si="42"/>
        <v>4674.1102158566055</v>
      </c>
      <c r="R67" s="54">
        <f t="shared" si="42"/>
        <v>4429.4114650613983</v>
      </c>
      <c r="S67" s="54">
        <f t="shared" si="42"/>
        <v>4207.7912780773031</v>
      </c>
    </row>
    <row r="68" spans="2:19" x14ac:dyDescent="0.3">
      <c r="B68" t="s">
        <v>7</v>
      </c>
      <c r="E68" s="22">
        <f>BS!D11</f>
        <v>17397</v>
      </c>
      <c r="F68" s="22">
        <f>BS!E11</f>
        <v>17466</v>
      </c>
      <c r="G68" s="22">
        <f>BS!F11</f>
        <v>17466</v>
      </c>
      <c r="H68" s="22">
        <f>BS!G11</f>
        <v>17466</v>
      </c>
      <c r="I68" s="22">
        <f>BS!H11</f>
        <v>18062</v>
      </c>
      <c r="J68" s="54">
        <f>I68</f>
        <v>18062</v>
      </c>
      <c r="K68" s="54">
        <f t="shared" ref="K68:S68" si="43">J68</f>
        <v>18062</v>
      </c>
      <c r="L68" s="54">
        <f t="shared" si="43"/>
        <v>18062</v>
      </c>
      <c r="M68" s="54">
        <f t="shared" si="43"/>
        <v>18062</v>
      </c>
      <c r="N68" s="54">
        <f t="shared" si="43"/>
        <v>18062</v>
      </c>
      <c r="O68" s="54">
        <f t="shared" si="43"/>
        <v>18062</v>
      </c>
      <c r="P68" s="54">
        <f t="shared" si="43"/>
        <v>18062</v>
      </c>
      <c r="Q68" s="54">
        <f t="shared" si="43"/>
        <v>18062</v>
      </c>
      <c r="R68" s="54">
        <f t="shared" si="43"/>
        <v>18062</v>
      </c>
      <c r="S68" s="54">
        <f t="shared" si="43"/>
        <v>18062</v>
      </c>
    </row>
    <row r="69" spans="2:19" x14ac:dyDescent="0.3">
      <c r="B69" t="s">
        <v>8</v>
      </c>
      <c r="E69" s="22">
        <f>BS!D12</f>
        <v>27907</v>
      </c>
      <c r="F69" s="22">
        <f>BS!E12</f>
        <v>28263</v>
      </c>
      <c r="G69" s="22">
        <f>BS!F12</f>
        <v>28247</v>
      </c>
      <c r="H69" s="22">
        <f>BS!G12</f>
        <v>28244</v>
      </c>
      <c r="I69" s="22">
        <f>BS!H12</f>
        <v>31184</v>
      </c>
      <c r="J69" s="54">
        <f>I69</f>
        <v>31184</v>
      </c>
      <c r="K69" s="54">
        <f t="shared" ref="K69:S69" si="44">J69</f>
        <v>31184</v>
      </c>
      <c r="L69" s="54">
        <f t="shared" si="44"/>
        <v>31184</v>
      </c>
      <c r="M69" s="54">
        <f t="shared" si="44"/>
        <v>31184</v>
      </c>
      <c r="N69" s="54">
        <f t="shared" si="44"/>
        <v>31184</v>
      </c>
      <c r="O69" s="54">
        <f t="shared" si="44"/>
        <v>31184</v>
      </c>
      <c r="P69" s="54">
        <f t="shared" si="44"/>
        <v>31184</v>
      </c>
      <c r="Q69" s="54">
        <f t="shared" si="44"/>
        <v>31184</v>
      </c>
      <c r="R69" s="54">
        <f t="shared" si="44"/>
        <v>31184</v>
      </c>
      <c r="S69" s="54">
        <f t="shared" si="44"/>
        <v>31184</v>
      </c>
    </row>
    <row r="70" spans="2:19" x14ac:dyDescent="0.3">
      <c r="B70" t="s">
        <v>6</v>
      </c>
      <c r="E70" s="22">
        <f>BS!D10</f>
        <v>1313</v>
      </c>
      <c r="F70" s="22">
        <f>BS!E10</f>
        <v>1132</v>
      </c>
      <c r="G70" s="22">
        <f>BS!F10</f>
        <v>1025</v>
      </c>
      <c r="H70" s="22">
        <f>BS!G10</f>
        <v>1009</v>
      </c>
      <c r="I70" s="22">
        <f>BS!H10</f>
        <v>880</v>
      </c>
      <c r="J70" s="54">
        <f>I70</f>
        <v>880</v>
      </c>
      <c r="K70" s="54">
        <f t="shared" ref="K70:S72" si="45">J70</f>
        <v>880</v>
      </c>
      <c r="L70" s="54">
        <f t="shared" si="45"/>
        <v>880</v>
      </c>
      <c r="M70" s="54">
        <f t="shared" si="45"/>
        <v>880</v>
      </c>
      <c r="N70" s="54">
        <f t="shared" si="45"/>
        <v>880</v>
      </c>
      <c r="O70" s="54">
        <f t="shared" si="45"/>
        <v>880</v>
      </c>
      <c r="P70" s="54">
        <f t="shared" si="45"/>
        <v>880</v>
      </c>
      <c r="Q70" s="54">
        <f t="shared" si="45"/>
        <v>880</v>
      </c>
      <c r="R70" s="54">
        <f t="shared" si="45"/>
        <v>880</v>
      </c>
      <c r="S70" s="54">
        <f t="shared" si="45"/>
        <v>880</v>
      </c>
    </row>
    <row r="71" spans="2:19" x14ac:dyDescent="0.3">
      <c r="B71" t="s">
        <v>182</v>
      </c>
      <c r="E71" s="22">
        <f>SUM(BS!D13,BS!D15:D19,BS!D26,BS!D30)</f>
        <v>5569</v>
      </c>
      <c r="F71" s="22">
        <f>SUM(BS!E13,BS!E15:E19,BS!E26,BS!E30)</f>
        <v>4915</v>
      </c>
      <c r="G71" s="22">
        <f>SUM(BS!F13,BS!F15:F19,BS!F26,BS!F30)</f>
        <v>6710</v>
      </c>
      <c r="H71" s="22">
        <f>SUM(BS!G13,BS!G15:G19,BS!G26,BS!G30)</f>
        <v>5922</v>
      </c>
      <c r="I71" s="22">
        <f>SUM(BS!H13,BS!H15:H19,BS!H26,BS!H30)</f>
        <v>6363</v>
      </c>
      <c r="J71" s="54">
        <f>I71</f>
        <v>6363</v>
      </c>
      <c r="K71" s="54">
        <f t="shared" si="45"/>
        <v>6363</v>
      </c>
      <c r="L71" s="54">
        <f t="shared" si="45"/>
        <v>6363</v>
      </c>
      <c r="M71" s="54">
        <f t="shared" si="45"/>
        <v>6363</v>
      </c>
      <c r="N71" s="54">
        <f t="shared" si="45"/>
        <v>6363</v>
      </c>
      <c r="O71" s="54">
        <f t="shared" si="45"/>
        <v>6363</v>
      </c>
      <c r="P71" s="54">
        <f t="shared" si="45"/>
        <v>6363</v>
      </c>
      <c r="Q71" s="54">
        <f t="shared" si="45"/>
        <v>6363</v>
      </c>
      <c r="R71" s="54">
        <f t="shared" si="45"/>
        <v>6363</v>
      </c>
      <c r="S71" s="54">
        <f t="shared" si="45"/>
        <v>6363</v>
      </c>
    </row>
    <row r="72" spans="2:19" x14ac:dyDescent="0.3">
      <c r="B72" t="s">
        <v>16</v>
      </c>
      <c r="E72" s="22">
        <f>BS!D20</f>
        <v>194</v>
      </c>
      <c r="F72" s="22">
        <f>BS!E20</f>
        <v>211</v>
      </c>
      <c r="G72" s="22">
        <f>BS!F20</f>
        <v>292</v>
      </c>
      <c r="H72" s="22">
        <f>BS!G20</f>
        <v>360</v>
      </c>
      <c r="I72" s="22">
        <f>BS!H20</f>
        <v>357</v>
      </c>
      <c r="J72" s="54">
        <f>I72</f>
        <v>357</v>
      </c>
      <c r="K72" s="54">
        <f t="shared" si="45"/>
        <v>357</v>
      </c>
      <c r="L72" s="54">
        <f t="shared" si="45"/>
        <v>357</v>
      </c>
      <c r="M72" s="54">
        <f t="shared" si="45"/>
        <v>357</v>
      </c>
      <c r="N72" s="54">
        <f t="shared" si="45"/>
        <v>357</v>
      </c>
      <c r="O72" s="54">
        <f t="shared" si="45"/>
        <v>357</v>
      </c>
      <c r="P72" s="54">
        <f t="shared" si="45"/>
        <v>357</v>
      </c>
      <c r="Q72" s="54">
        <f t="shared" si="45"/>
        <v>357</v>
      </c>
      <c r="R72" s="54">
        <f t="shared" si="45"/>
        <v>357</v>
      </c>
      <c r="S72" s="54">
        <f t="shared" si="45"/>
        <v>357</v>
      </c>
    </row>
    <row r="73" spans="2:19" x14ac:dyDescent="0.3">
      <c r="J73" s="56"/>
      <c r="K73" s="56"/>
      <c r="L73" s="56"/>
      <c r="M73" s="56"/>
      <c r="N73" s="56"/>
      <c r="O73" s="56"/>
      <c r="P73" s="56"/>
      <c r="Q73" s="56"/>
      <c r="R73" s="56"/>
      <c r="S73" s="56"/>
    </row>
    <row r="74" spans="2:19" x14ac:dyDescent="0.3">
      <c r="B74" s="11" t="s">
        <v>183</v>
      </c>
      <c r="C74" s="12"/>
      <c r="D74" s="12"/>
      <c r="E74" s="27">
        <f t="shared" ref="E74:S74" si="46">SUM(E60:E72)</f>
        <v>70517</v>
      </c>
      <c r="F74" s="27">
        <f t="shared" si="46"/>
        <v>73087</v>
      </c>
      <c r="G74" s="27">
        <f t="shared" si="46"/>
        <v>78499</v>
      </c>
      <c r="H74" s="27">
        <f t="shared" si="46"/>
        <v>79880</v>
      </c>
      <c r="I74" s="27">
        <f t="shared" si="46"/>
        <v>79752</v>
      </c>
      <c r="J74" s="60">
        <f t="shared" si="46"/>
        <v>79149.878880606993</v>
      </c>
      <c r="K74" s="60">
        <f t="shared" si="46"/>
        <v>80456.264444834698</v>
      </c>
      <c r="L74" s="60">
        <f t="shared" si="46"/>
        <v>81794.972061089429</v>
      </c>
      <c r="M74" s="60">
        <f t="shared" si="46"/>
        <v>83163.351329026656</v>
      </c>
      <c r="N74" s="60">
        <f t="shared" si="46"/>
        <v>84558.905830374861</v>
      </c>
      <c r="O74" s="60">
        <f t="shared" si="46"/>
        <v>85979.293053696776</v>
      </c>
      <c r="P74" s="60">
        <f t="shared" si="46"/>
        <v>87422.322915451266</v>
      </c>
      <c r="Q74" s="60">
        <f t="shared" si="46"/>
        <v>88885.955014456791</v>
      </c>
      <c r="R74" s="60">
        <f t="shared" si="46"/>
        <v>90368.294781010991</v>
      </c>
      <c r="S74" s="60">
        <f t="shared" si="46"/>
        <v>91867.588693544501</v>
      </c>
    </row>
    <row r="76" spans="2:19" x14ac:dyDescent="0.3">
      <c r="B76" s="4" t="s">
        <v>35</v>
      </c>
    </row>
    <row r="77" spans="2:19" x14ac:dyDescent="0.3">
      <c r="B77" s="4" t="s">
        <v>184</v>
      </c>
    </row>
    <row r="78" spans="2:19" x14ac:dyDescent="0.3">
      <c r="B78" t="s">
        <v>185</v>
      </c>
      <c r="E78" s="22">
        <f>SUM(BS!D61:D62)</f>
        <v>9068</v>
      </c>
      <c r="F78" s="22">
        <f>SUM(BS!E61:E62)</f>
        <v>9574</v>
      </c>
      <c r="G78" s="22">
        <f>SUM(BS!F61:F62)</f>
        <v>10486</v>
      </c>
      <c r="H78" s="22">
        <f>SUM(BS!G61:G62)</f>
        <v>11315</v>
      </c>
      <c r="I78" s="22">
        <f>SUM(BS!H61:H62)</f>
        <v>13325</v>
      </c>
      <c r="J78" s="54">
        <f t="shared" ref="J78:S78" si="47">-(J30*J23)/365</f>
        <v>12075.581013226927</v>
      </c>
      <c r="K78" s="54">
        <f t="shared" si="47"/>
        <v>12694.063839782861</v>
      </c>
      <c r="L78" s="54">
        <f t="shared" si="47"/>
        <v>13305.21429680684</v>
      </c>
      <c r="M78" s="54">
        <f t="shared" si="47"/>
        <v>13907.353897400542</v>
      </c>
      <c r="N78" s="54">
        <f t="shared" si="47"/>
        <v>14498.980475840499</v>
      </c>
      <c r="O78" s="54">
        <f t="shared" si="47"/>
        <v>15078.7674961959</v>
      </c>
      <c r="P78" s="54">
        <f t="shared" si="47"/>
        <v>15645.560814547465</v>
      </c>
      <c r="Q78" s="54">
        <f t="shared" si="47"/>
        <v>16198.373328816861</v>
      </c>
      <c r="R78" s="54">
        <f t="shared" si="47"/>
        <v>16736.377928174668</v>
      </c>
      <c r="S78" s="54">
        <f t="shared" si="47"/>
        <v>17258.899124100815</v>
      </c>
    </row>
    <row r="79" spans="2:19" x14ac:dyDescent="0.3">
      <c r="B79" t="s">
        <v>50</v>
      </c>
      <c r="E79" s="22">
        <f>SUM(BS!D63:D66)</f>
        <v>1910</v>
      </c>
      <c r="F79" s="22">
        <f>SUM(BS!E63:E66)</f>
        <v>2042</v>
      </c>
      <c r="G79" s="22">
        <f>SUM(BS!F63:F66)</f>
        <v>2012</v>
      </c>
      <c r="H79" s="22">
        <f>SUM(BS!G63:G66)</f>
        <v>4817</v>
      </c>
      <c r="I79" s="22">
        <f>SUM(BS!H63:H66)</f>
        <v>1850</v>
      </c>
      <c r="J79" s="54">
        <f>I79</f>
        <v>1850</v>
      </c>
      <c r="K79" s="54">
        <f t="shared" ref="K79:S79" si="48">J79</f>
        <v>1850</v>
      </c>
      <c r="L79" s="54">
        <f t="shared" si="48"/>
        <v>1850</v>
      </c>
      <c r="M79" s="54">
        <f t="shared" si="48"/>
        <v>1850</v>
      </c>
      <c r="N79" s="54">
        <f t="shared" si="48"/>
        <v>1850</v>
      </c>
      <c r="O79" s="54">
        <f t="shared" si="48"/>
        <v>1850</v>
      </c>
      <c r="P79" s="54">
        <f t="shared" si="48"/>
        <v>1850</v>
      </c>
      <c r="Q79" s="54">
        <f t="shared" si="48"/>
        <v>1850</v>
      </c>
      <c r="R79" s="54">
        <f t="shared" si="48"/>
        <v>1850</v>
      </c>
      <c r="S79" s="54">
        <f t="shared" si="48"/>
        <v>1850</v>
      </c>
    </row>
    <row r="80" spans="2:19" x14ac:dyDescent="0.3">
      <c r="E80" s="22"/>
      <c r="F80" s="22"/>
      <c r="G80" s="22"/>
      <c r="H80" s="22"/>
      <c r="I80" s="22"/>
      <c r="J80" s="54"/>
      <c r="K80" s="54"/>
      <c r="L80" s="54"/>
      <c r="M80" s="54"/>
      <c r="N80" s="54"/>
      <c r="O80" s="54"/>
      <c r="P80" s="54"/>
      <c r="Q80" s="54"/>
      <c r="R80" s="54"/>
      <c r="S80" s="54"/>
    </row>
    <row r="81" spans="2:19" x14ac:dyDescent="0.3">
      <c r="B81" s="4" t="s">
        <v>36</v>
      </c>
      <c r="E81" s="22"/>
      <c r="F81" s="22"/>
      <c r="G81" s="22"/>
      <c r="H81" s="22"/>
      <c r="I81" s="22"/>
      <c r="J81" s="54"/>
      <c r="K81" s="54"/>
      <c r="L81" s="54"/>
      <c r="M81" s="54"/>
      <c r="N81" s="54"/>
      <c r="O81" s="54"/>
      <c r="P81" s="54"/>
      <c r="Q81" s="54"/>
      <c r="R81" s="54"/>
      <c r="S81" s="54"/>
    </row>
    <row r="82" spans="2:19" x14ac:dyDescent="0.3">
      <c r="B82" t="s">
        <v>186</v>
      </c>
      <c r="E82" s="22">
        <f>SUM(BS!D58:D59,BS!D49)</f>
        <v>1043</v>
      </c>
      <c r="F82" s="22">
        <f>SUM(BS!E58:E59,BS!E49)</f>
        <v>1219</v>
      </c>
      <c r="G82" s="22">
        <f>SUM(BS!F58:F59,BS!F49)</f>
        <v>1484</v>
      </c>
      <c r="H82" s="22">
        <f>SUM(BS!G58:G59,BS!G49)</f>
        <v>1648</v>
      </c>
      <c r="I82" s="22">
        <f>SUM(BS!H58:H59,BS!H49)</f>
        <v>1478</v>
      </c>
      <c r="J82" s="54">
        <f>J147</f>
        <v>1478</v>
      </c>
      <c r="K82" s="54">
        <f t="shared" ref="K82:S82" si="49">K147</f>
        <v>1478</v>
      </c>
      <c r="L82" s="54">
        <f t="shared" si="49"/>
        <v>1478</v>
      </c>
      <c r="M82" s="54">
        <f t="shared" si="49"/>
        <v>1478</v>
      </c>
      <c r="N82" s="54">
        <f t="shared" si="49"/>
        <v>1478</v>
      </c>
      <c r="O82" s="54">
        <f t="shared" si="49"/>
        <v>1478</v>
      </c>
      <c r="P82" s="54">
        <f t="shared" si="49"/>
        <v>1478</v>
      </c>
      <c r="Q82" s="54">
        <f t="shared" si="49"/>
        <v>1478</v>
      </c>
      <c r="R82" s="54">
        <f t="shared" si="49"/>
        <v>1478</v>
      </c>
      <c r="S82" s="54">
        <f t="shared" si="49"/>
        <v>1478</v>
      </c>
    </row>
    <row r="83" spans="2:19" x14ac:dyDescent="0.3">
      <c r="B83" t="s">
        <v>187</v>
      </c>
      <c r="E83" s="22">
        <f>SUM(BS!D50:D53)</f>
        <v>9409</v>
      </c>
      <c r="F83" s="22">
        <f>SUM(BS!E50:E53)</f>
        <v>9730</v>
      </c>
      <c r="G83" s="22">
        <f>SUM(BS!F50:F53)</f>
        <v>13094</v>
      </c>
      <c r="H83" s="22">
        <f>SUM(BS!G50:G53)</f>
        <v>12491</v>
      </c>
      <c r="I83" s="22">
        <f>SUM(BS!H50:H53)</f>
        <v>14091</v>
      </c>
      <c r="J83" s="54">
        <f>I83</f>
        <v>14091</v>
      </c>
      <c r="K83" s="54">
        <f t="shared" ref="K83:S83" si="50">J83</f>
        <v>14091</v>
      </c>
      <c r="L83" s="54">
        <f t="shared" si="50"/>
        <v>14091</v>
      </c>
      <c r="M83" s="54">
        <f t="shared" si="50"/>
        <v>14091</v>
      </c>
      <c r="N83" s="54">
        <f t="shared" si="50"/>
        <v>14091</v>
      </c>
      <c r="O83" s="54">
        <f t="shared" si="50"/>
        <v>14091</v>
      </c>
      <c r="P83" s="54">
        <f t="shared" si="50"/>
        <v>14091</v>
      </c>
      <c r="Q83" s="54">
        <f t="shared" si="50"/>
        <v>14091</v>
      </c>
      <c r="R83" s="54">
        <f t="shared" si="50"/>
        <v>14091</v>
      </c>
      <c r="S83" s="54">
        <f t="shared" si="50"/>
        <v>14091</v>
      </c>
    </row>
    <row r="84" spans="2:19" x14ac:dyDescent="0.3">
      <c r="J84" s="56"/>
      <c r="K84" s="56"/>
      <c r="L84" s="56"/>
      <c r="M84" s="56"/>
      <c r="N84" s="56"/>
      <c r="O84" s="56"/>
      <c r="P84" s="56"/>
      <c r="Q84" s="56"/>
      <c r="R84" s="56"/>
      <c r="S84" s="56"/>
    </row>
    <row r="85" spans="2:19" x14ac:dyDescent="0.3">
      <c r="B85" s="11" t="s">
        <v>188</v>
      </c>
      <c r="C85" s="12"/>
      <c r="D85" s="12"/>
      <c r="E85" s="27">
        <f>SUM(E78:E83)</f>
        <v>21430</v>
      </c>
      <c r="F85" s="27">
        <f t="shared" ref="F85:S85" si="51">SUM(F78:F83)</f>
        <v>22565</v>
      </c>
      <c r="G85" s="27">
        <f t="shared" si="51"/>
        <v>27076</v>
      </c>
      <c r="H85" s="27">
        <f t="shared" si="51"/>
        <v>30271</v>
      </c>
      <c r="I85" s="27">
        <f t="shared" si="51"/>
        <v>30744</v>
      </c>
      <c r="J85" s="60">
        <f t="shared" si="51"/>
        <v>29494.581013226925</v>
      </c>
      <c r="K85" s="60">
        <f t="shared" si="51"/>
        <v>30113.063839782859</v>
      </c>
      <c r="L85" s="60">
        <f t="shared" si="51"/>
        <v>30724.21429680684</v>
      </c>
      <c r="M85" s="60">
        <f t="shared" si="51"/>
        <v>31326.353897400542</v>
      </c>
      <c r="N85" s="60">
        <f t="shared" si="51"/>
        <v>31917.980475840501</v>
      </c>
      <c r="O85" s="60">
        <f t="shared" si="51"/>
        <v>32497.767496195898</v>
      </c>
      <c r="P85" s="60">
        <f t="shared" si="51"/>
        <v>33064.560814547469</v>
      </c>
      <c r="Q85" s="60">
        <f t="shared" si="51"/>
        <v>33617.373328816859</v>
      </c>
      <c r="R85" s="60">
        <f t="shared" si="51"/>
        <v>34155.377928174668</v>
      </c>
      <c r="S85" s="60">
        <f t="shared" si="51"/>
        <v>34677.899124100819</v>
      </c>
    </row>
    <row r="87" spans="2:19" x14ac:dyDescent="0.3">
      <c r="B87" s="4" t="s">
        <v>189</v>
      </c>
    </row>
    <row r="88" spans="2:19" x14ac:dyDescent="0.3">
      <c r="B88" t="s">
        <v>190</v>
      </c>
      <c r="E88" s="22">
        <f>BS!D41</f>
        <v>235</v>
      </c>
      <c r="F88" s="22">
        <f>BS!E41</f>
        <v>235</v>
      </c>
      <c r="G88" s="22">
        <f>BS!F41</f>
        <v>235</v>
      </c>
      <c r="H88" s="22">
        <f>BS!G41</f>
        <v>235</v>
      </c>
      <c r="I88" s="22">
        <f>BS!H41</f>
        <v>235</v>
      </c>
      <c r="J88" s="54">
        <f>I88</f>
        <v>235</v>
      </c>
      <c r="K88" s="54">
        <f t="shared" ref="K88:S88" si="52">J88</f>
        <v>235</v>
      </c>
      <c r="L88" s="54">
        <f t="shared" si="52"/>
        <v>235</v>
      </c>
      <c r="M88" s="54">
        <f t="shared" si="52"/>
        <v>235</v>
      </c>
      <c r="N88" s="54">
        <f t="shared" si="52"/>
        <v>235</v>
      </c>
      <c r="O88" s="54">
        <f t="shared" si="52"/>
        <v>235</v>
      </c>
      <c r="P88" s="54">
        <f t="shared" si="52"/>
        <v>235</v>
      </c>
      <c r="Q88" s="54">
        <f t="shared" si="52"/>
        <v>235</v>
      </c>
      <c r="R88" s="54">
        <f t="shared" si="52"/>
        <v>235</v>
      </c>
      <c r="S88" s="54">
        <f t="shared" si="52"/>
        <v>235</v>
      </c>
    </row>
    <row r="89" spans="2:19" x14ac:dyDescent="0.3">
      <c r="B89" t="s">
        <v>191</v>
      </c>
      <c r="E89" s="22">
        <f>BS!D42</f>
        <v>48826</v>
      </c>
      <c r="F89" s="22">
        <f>BS!E42</f>
        <v>50069</v>
      </c>
      <c r="G89" s="22">
        <f>BS!F42</f>
        <v>50983</v>
      </c>
      <c r="H89" s="22">
        <f>BS!G42</f>
        <v>49167</v>
      </c>
      <c r="I89" s="22">
        <f>BS!H42</f>
        <v>48504</v>
      </c>
      <c r="J89" s="54">
        <f t="shared" ref="J89:S89" si="53">I89+J52+J120+J118</f>
        <v>49151.297867380068</v>
      </c>
      <c r="K89" s="54">
        <f t="shared" si="53"/>
        <v>49839.200605051832</v>
      </c>
      <c r="L89" s="54">
        <f t="shared" si="53"/>
        <v>50566.757764282585</v>
      </c>
      <c r="M89" s="54">
        <f t="shared" si="53"/>
        <v>51332.997431626107</v>
      </c>
      <c r="N89" s="54">
        <f t="shared" si="53"/>
        <v>52136.92535453436</v>
      </c>
      <c r="O89" s="54">
        <f t="shared" si="53"/>
        <v>52977.525557500863</v>
      </c>
      <c r="P89" s="54">
        <f t="shared" si="53"/>
        <v>53853.76210090379</v>
      </c>
      <c r="Q89" s="54">
        <f t="shared" si="53"/>
        <v>54764.581685639911</v>
      </c>
      <c r="R89" s="54">
        <f t="shared" si="53"/>
        <v>55708.916852836315</v>
      </c>
      <c r="S89" s="54">
        <f t="shared" si="53"/>
        <v>56685.689569443683</v>
      </c>
    </row>
    <row r="90" spans="2:19" x14ac:dyDescent="0.3">
      <c r="B90" s="7" t="s">
        <v>192</v>
      </c>
      <c r="C90" s="8"/>
      <c r="D90" s="8"/>
      <c r="E90" s="24">
        <f>SUM(E88:E89)</f>
        <v>49061</v>
      </c>
      <c r="F90" s="24">
        <f t="shared" ref="F90:S90" si="54">SUM(F88:F89)</f>
        <v>50304</v>
      </c>
      <c r="G90" s="24">
        <f t="shared" si="54"/>
        <v>51218</v>
      </c>
      <c r="H90" s="24">
        <f t="shared" si="54"/>
        <v>49402</v>
      </c>
      <c r="I90" s="24">
        <f t="shared" si="54"/>
        <v>48739</v>
      </c>
      <c r="J90" s="55">
        <f t="shared" si="54"/>
        <v>49386.297867380068</v>
      </c>
      <c r="K90" s="55">
        <f t="shared" si="54"/>
        <v>50074.200605051832</v>
      </c>
      <c r="L90" s="55">
        <f t="shared" si="54"/>
        <v>50801.757764282585</v>
      </c>
      <c r="M90" s="55">
        <f t="shared" si="54"/>
        <v>51567.997431626107</v>
      </c>
      <c r="N90" s="55">
        <f t="shared" si="54"/>
        <v>52371.92535453436</v>
      </c>
      <c r="O90" s="55">
        <f t="shared" si="54"/>
        <v>53212.525557500863</v>
      </c>
      <c r="P90" s="55">
        <f t="shared" si="54"/>
        <v>54088.76210090379</v>
      </c>
      <c r="Q90" s="55">
        <f t="shared" si="54"/>
        <v>54999.581685639911</v>
      </c>
      <c r="R90" s="55">
        <f t="shared" si="54"/>
        <v>55943.916852836315</v>
      </c>
      <c r="S90" s="55">
        <f t="shared" si="54"/>
        <v>56920.689569443683</v>
      </c>
    </row>
    <row r="91" spans="2:19" x14ac:dyDescent="0.3">
      <c r="B91" t="s">
        <v>193</v>
      </c>
      <c r="E91" s="22">
        <f>BS!D43</f>
        <v>26</v>
      </c>
      <c r="F91" s="22">
        <f>BS!E43</f>
        <v>218</v>
      </c>
      <c r="G91" s="22">
        <f>BS!F43</f>
        <v>205</v>
      </c>
      <c r="H91" s="22">
        <f>BS!G43</f>
        <v>207</v>
      </c>
      <c r="I91" s="22">
        <f>BS!H43</f>
        <v>269</v>
      </c>
      <c r="J91" s="54">
        <f>I91</f>
        <v>269</v>
      </c>
      <c r="K91" s="54">
        <f t="shared" ref="K91:S91" si="55">J91</f>
        <v>269</v>
      </c>
      <c r="L91" s="54">
        <f t="shared" si="55"/>
        <v>269</v>
      </c>
      <c r="M91" s="54">
        <f t="shared" si="55"/>
        <v>269</v>
      </c>
      <c r="N91" s="54">
        <f t="shared" si="55"/>
        <v>269</v>
      </c>
      <c r="O91" s="54">
        <f t="shared" si="55"/>
        <v>269</v>
      </c>
      <c r="P91" s="54">
        <f t="shared" si="55"/>
        <v>269</v>
      </c>
      <c r="Q91" s="54">
        <f t="shared" si="55"/>
        <v>269</v>
      </c>
      <c r="R91" s="54">
        <f t="shared" si="55"/>
        <v>269</v>
      </c>
      <c r="S91" s="54">
        <f t="shared" si="55"/>
        <v>269</v>
      </c>
    </row>
    <row r="92" spans="2:19" x14ac:dyDescent="0.3">
      <c r="J92" s="56"/>
      <c r="K92" s="56"/>
      <c r="L92" s="56"/>
      <c r="M92" s="56"/>
      <c r="N92" s="56"/>
      <c r="O92" s="56"/>
      <c r="P92" s="56"/>
      <c r="Q92" s="56"/>
      <c r="R92" s="56"/>
      <c r="S92" s="56"/>
    </row>
    <row r="93" spans="2:19" x14ac:dyDescent="0.3">
      <c r="B93" s="11" t="s">
        <v>194</v>
      </c>
      <c r="C93" s="12"/>
      <c r="D93" s="12"/>
      <c r="E93" s="27">
        <f>E85+E90+E91</f>
        <v>70517</v>
      </c>
      <c r="F93" s="27">
        <f t="shared" ref="F93:S93" si="56">F85+F90+F91</f>
        <v>73087</v>
      </c>
      <c r="G93" s="27">
        <f t="shared" si="56"/>
        <v>78499</v>
      </c>
      <c r="H93" s="27">
        <f t="shared" si="56"/>
        <v>79880</v>
      </c>
      <c r="I93" s="27">
        <f t="shared" si="56"/>
        <v>79752</v>
      </c>
      <c r="J93" s="60">
        <f t="shared" si="56"/>
        <v>79149.878880606993</v>
      </c>
      <c r="K93" s="60">
        <f t="shared" si="56"/>
        <v>80456.264444834698</v>
      </c>
      <c r="L93" s="60">
        <f t="shared" si="56"/>
        <v>81794.972061089429</v>
      </c>
      <c r="M93" s="60">
        <f t="shared" si="56"/>
        <v>83163.351329026656</v>
      </c>
      <c r="N93" s="60">
        <f t="shared" si="56"/>
        <v>84558.905830374861</v>
      </c>
      <c r="O93" s="60">
        <f t="shared" si="56"/>
        <v>85979.293053696761</v>
      </c>
      <c r="P93" s="60">
        <f t="shared" si="56"/>
        <v>87422.322915451252</v>
      </c>
      <c r="Q93" s="60">
        <f t="shared" si="56"/>
        <v>88885.955014456762</v>
      </c>
      <c r="R93" s="60">
        <f t="shared" si="56"/>
        <v>90368.294781010976</v>
      </c>
      <c r="S93" s="60">
        <f t="shared" si="56"/>
        <v>91867.588693544501</v>
      </c>
    </row>
    <row r="95" spans="2:19" x14ac:dyDescent="0.3">
      <c r="B95" t="s">
        <v>195</v>
      </c>
      <c r="E95" s="28">
        <f>E74-E93</f>
        <v>0</v>
      </c>
      <c r="F95" s="28">
        <f>F74-F93</f>
        <v>0</v>
      </c>
      <c r="G95" s="28">
        <f>G74-G93</f>
        <v>0</v>
      </c>
      <c r="H95" s="28">
        <f>H74-H93</f>
        <v>0</v>
      </c>
      <c r="I95" s="28">
        <f>I74-I93</f>
        <v>0</v>
      </c>
      <c r="J95" s="28">
        <f t="shared" ref="J95:S95" si="57">J74-J93</f>
        <v>0</v>
      </c>
      <c r="K95" s="28">
        <f t="shared" si="57"/>
        <v>0</v>
      </c>
      <c r="L95" s="28">
        <f t="shared" si="57"/>
        <v>0</v>
      </c>
      <c r="M95" s="28">
        <f t="shared" si="57"/>
        <v>0</v>
      </c>
      <c r="N95" s="28">
        <f t="shared" si="57"/>
        <v>0</v>
      </c>
      <c r="O95" s="28">
        <f t="shared" si="57"/>
        <v>0</v>
      </c>
      <c r="P95" s="28">
        <f t="shared" si="57"/>
        <v>0</v>
      </c>
      <c r="Q95" s="28">
        <f t="shared" si="57"/>
        <v>0</v>
      </c>
      <c r="R95" s="28">
        <f t="shared" si="57"/>
        <v>0</v>
      </c>
      <c r="S95" s="28">
        <f t="shared" si="57"/>
        <v>0</v>
      </c>
    </row>
    <row r="97" spans="2:19" ht="18" x14ac:dyDescent="0.35">
      <c r="B97" s="19" t="s">
        <v>196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9" spans="2:19" x14ac:dyDescent="0.3">
      <c r="B99" s="4" t="s">
        <v>197</v>
      </c>
    </row>
    <row r="100" spans="2:19" x14ac:dyDescent="0.3">
      <c r="B100" t="s">
        <v>175</v>
      </c>
      <c r="E100" s="29">
        <f>CF!D7+CF!D8+CF!D41</f>
        <v>9090</v>
      </c>
      <c r="F100" s="29">
        <f>CF!E7+CF!E8+CF!E41</f>
        <v>10208</v>
      </c>
      <c r="G100" s="29">
        <f>CF!F7+CF!F8+CF!F41</f>
        <v>13545</v>
      </c>
      <c r="H100" s="29">
        <f>CF!G7+CF!G8+CF!G41</f>
        <v>12147</v>
      </c>
      <c r="I100" s="29">
        <f>CF!H7+CF!H8+CF!H41</f>
        <v>13308</v>
      </c>
      <c r="J100" s="61">
        <f t="shared" ref="J100:S100" si="58">J52</f>
        <v>11432.628177443681</v>
      </c>
      <c r="K100" s="61">
        <f t="shared" si="58"/>
        <v>12149.794736507469</v>
      </c>
      <c r="L100" s="61">
        <f t="shared" si="58"/>
        <v>12850.174391874512</v>
      </c>
      <c r="M100" s="61">
        <f t="shared" si="58"/>
        <v>13533.388032009241</v>
      </c>
      <c r="N100" s="61">
        <f t="shared" si="58"/>
        <v>14199.041101857993</v>
      </c>
      <c r="O100" s="61">
        <f t="shared" si="58"/>
        <v>14846.749928741618</v>
      </c>
      <c r="P100" s="61">
        <f t="shared" si="58"/>
        <v>15476.16190481306</v>
      </c>
      <c r="Q100" s="61">
        <f t="shared" si="58"/>
        <v>16086.970425483538</v>
      </c>
      <c r="R100" s="61">
        <f t="shared" si="58"/>
        <v>16678.925399736152</v>
      </c>
      <c r="S100" s="61">
        <f t="shared" si="58"/>
        <v>17251.84006559776</v>
      </c>
    </row>
    <row r="101" spans="2:19" x14ac:dyDescent="0.3">
      <c r="B101" t="s">
        <v>198</v>
      </c>
      <c r="E101" s="29">
        <f>CF!D10</f>
        <v>1106</v>
      </c>
      <c r="F101" s="29">
        <f>CF!E10</f>
        <v>1152</v>
      </c>
      <c r="G101" s="29">
        <f>CF!F10</f>
        <v>1216</v>
      </c>
      <c r="H101" s="29">
        <f>CF!G10</f>
        <v>1363</v>
      </c>
      <c r="I101" s="29">
        <f>CF!H10</f>
        <v>1436</v>
      </c>
      <c r="J101" s="61">
        <f>-J141</f>
        <v>1116.9571831175722</v>
      </c>
      <c r="K101" s="61">
        <f t="shared" ref="K101:L101" si="59">-K141</f>
        <v>1025.4912997304771</v>
      </c>
      <c r="L101" s="61">
        <f t="shared" si="59"/>
        <v>946.13023285787062</v>
      </c>
      <c r="M101" s="61">
        <f>-M141</f>
        <v>877.03747958452288</v>
      </c>
      <c r="N101" s="61">
        <f>-N141</f>
        <v>816.64297715355315</v>
      </c>
      <c r="O101" s="61">
        <f t="shared" ref="O101:S101" si="60">-O141</f>
        <v>763.60711917988408</v>
      </c>
      <c r="P101" s="61">
        <f t="shared" si="60"/>
        <v>716.78939287198966</v>
      </c>
      <c r="Q101" s="61">
        <f t="shared" si="60"/>
        <v>675.22104611222403</v>
      </c>
      <c r="R101" s="61">
        <f t="shared" si="60"/>
        <v>638.08127356199725</v>
      </c>
      <c r="S101" s="61">
        <f t="shared" si="60"/>
        <v>604.67647920846468</v>
      </c>
    </row>
    <row r="102" spans="2:19" x14ac:dyDescent="0.3">
      <c r="B102" t="s">
        <v>199</v>
      </c>
      <c r="E102" s="29">
        <f>CF!D29-CF!D10+SUM(CF!D42:D43)</f>
        <v>-148</v>
      </c>
      <c r="F102" s="29">
        <f>CF!E29-CF!E10+SUM(CF!E42:E43)</f>
        <v>-411</v>
      </c>
      <c r="G102" s="29">
        <f>CF!F29-CF!F10+SUM(CF!F42:F43)</f>
        <v>-605</v>
      </c>
      <c r="H102" s="29">
        <f>CF!G29-CF!G10+SUM(CF!G42:G43)</f>
        <v>-836</v>
      </c>
      <c r="I102" s="29">
        <f>CF!H29-CF!H10+SUM(CF!H42:H43)</f>
        <v>-4431</v>
      </c>
      <c r="J102" s="61">
        <f t="shared" ref="J102:S102" si="61">-J42-J43</f>
        <v>-471.85829776395701</v>
      </c>
      <c r="K102" s="61">
        <f t="shared" si="61"/>
        <v>-509.62527814249097</v>
      </c>
      <c r="L102" s="61">
        <f t="shared" si="61"/>
        <v>-546.94451535928943</v>
      </c>
      <c r="M102" s="61">
        <f t="shared" si="61"/>
        <v>-583.71351443949914</v>
      </c>
      <c r="N102" s="61">
        <f t="shared" si="61"/>
        <v>-619.84054726882596</v>
      </c>
      <c r="O102" s="61">
        <f t="shared" si="61"/>
        <v>-655.24461037503227</v>
      </c>
      <c r="P102" s="61">
        <f t="shared" si="61"/>
        <v>-689.85522721635834</v>
      </c>
      <c r="Q102" s="61">
        <f t="shared" si="61"/>
        <v>-723.61212147918093</v>
      </c>
      <c r="R102" s="61">
        <f t="shared" si="61"/>
        <v>-756.46478654128816</v>
      </c>
      <c r="S102" s="61">
        <f t="shared" si="61"/>
        <v>-788.37197443169646</v>
      </c>
    </row>
    <row r="103" spans="2:19" x14ac:dyDescent="0.3">
      <c r="B103" t="s">
        <v>200</v>
      </c>
      <c r="E103" s="30">
        <f>E136</f>
        <v>-1000</v>
      </c>
      <c r="F103" s="30">
        <f>F136</f>
        <v>-958</v>
      </c>
      <c r="G103" s="30">
        <f t="shared" ref="G103:I103" si="62">G136</f>
        <v>1313</v>
      </c>
      <c r="H103" s="30">
        <f t="shared" si="62"/>
        <v>-788</v>
      </c>
      <c r="I103" s="30">
        <f t="shared" si="62"/>
        <v>686</v>
      </c>
      <c r="J103" s="62">
        <f>J136</f>
        <v>-1409.4493403726665</v>
      </c>
      <c r="K103" s="62">
        <f t="shared" ref="K103:S103" si="63">K136</f>
        <v>191.94072087207132</v>
      </c>
      <c r="L103" s="62">
        <f t="shared" si="63"/>
        <v>189.66518429573398</v>
      </c>
      <c r="M103" s="62">
        <f t="shared" si="63"/>
        <v>186.86874403152751</v>
      </c>
      <c r="N103" s="62">
        <f t="shared" si="63"/>
        <v>183.60611980965405</v>
      </c>
      <c r="O103" s="62">
        <f t="shared" si="63"/>
        <v>179.93181679592089</v>
      </c>
      <c r="P103" s="62">
        <f t="shared" si="63"/>
        <v>175.89933533915882</v>
      </c>
      <c r="Q103" s="62">
        <f t="shared" si="63"/>
        <v>171.56051540967746</v>
      </c>
      <c r="R103" s="62">
        <f t="shared" si="63"/>
        <v>166.96500888838727</v>
      </c>
      <c r="S103" s="62">
        <f t="shared" si="63"/>
        <v>162.15987042921006</v>
      </c>
    </row>
    <row r="104" spans="2:19" x14ac:dyDescent="0.3">
      <c r="E104" s="30"/>
      <c r="F104" s="30"/>
      <c r="G104" s="30"/>
      <c r="H104" s="30"/>
      <c r="I104" s="30"/>
      <c r="J104" s="59"/>
      <c r="K104" s="59"/>
      <c r="L104" s="59"/>
      <c r="M104" s="59"/>
      <c r="N104" s="59"/>
      <c r="O104" s="59"/>
      <c r="P104" s="59"/>
      <c r="Q104" s="59"/>
      <c r="R104" s="59"/>
      <c r="S104" s="59"/>
    </row>
    <row r="105" spans="2:19" x14ac:dyDescent="0.3">
      <c r="B105" s="11" t="s">
        <v>201</v>
      </c>
      <c r="C105" s="11"/>
      <c r="D105" s="11"/>
      <c r="E105" s="31">
        <f>SUM(E100:E103)</f>
        <v>9048</v>
      </c>
      <c r="F105" s="31">
        <f t="shared" ref="F105:S105" si="64">SUM(F100:F103)</f>
        <v>9991</v>
      </c>
      <c r="G105" s="31">
        <f t="shared" si="64"/>
        <v>15469</v>
      </c>
      <c r="H105" s="31">
        <f t="shared" si="64"/>
        <v>11886</v>
      </c>
      <c r="I105" s="31">
        <f t="shared" si="64"/>
        <v>10999</v>
      </c>
      <c r="J105" s="63">
        <f t="shared" si="64"/>
        <v>10668.277722424631</v>
      </c>
      <c r="K105" s="63">
        <f t="shared" si="64"/>
        <v>12857.601478967526</v>
      </c>
      <c r="L105" s="63">
        <f t="shared" si="64"/>
        <v>13439.025293668828</v>
      </c>
      <c r="M105" s="63">
        <f t="shared" si="64"/>
        <v>14013.580741185793</v>
      </c>
      <c r="N105" s="63">
        <f t="shared" si="64"/>
        <v>14579.449651552373</v>
      </c>
      <c r="O105" s="63">
        <f t="shared" si="64"/>
        <v>15135.044254342391</v>
      </c>
      <c r="P105" s="63">
        <f t="shared" si="64"/>
        <v>15678.995405807851</v>
      </c>
      <c r="Q105" s="63">
        <f t="shared" si="64"/>
        <v>16210.139865526258</v>
      </c>
      <c r="R105" s="63">
        <f t="shared" si="64"/>
        <v>16727.506895645249</v>
      </c>
      <c r="S105" s="63">
        <f t="shared" si="64"/>
        <v>17230.304440803739</v>
      </c>
    </row>
    <row r="107" spans="2:19" x14ac:dyDescent="0.3">
      <c r="B107" s="4" t="s">
        <v>202</v>
      </c>
      <c r="E107" s="30"/>
      <c r="F107" s="30"/>
      <c r="G107" s="30"/>
      <c r="H107" s="30"/>
      <c r="I107" s="30"/>
    </row>
    <row r="108" spans="2:19" x14ac:dyDescent="0.3">
      <c r="B108" t="s">
        <v>203</v>
      </c>
      <c r="E108" s="29">
        <f>CF!D48</f>
        <v>-1225</v>
      </c>
      <c r="F108" s="29">
        <f>CF!E48</f>
        <v>-1174</v>
      </c>
      <c r="G108" s="29">
        <f>CF!F48</f>
        <v>-1468</v>
      </c>
      <c r="H108" s="29">
        <f>CF!G48</f>
        <v>-1254</v>
      </c>
      <c r="I108" s="29">
        <f>CF!H48</f>
        <v>-1258</v>
      </c>
      <c r="J108" s="59">
        <f>-J140</f>
        <v>-446.94595154609522</v>
      </c>
      <c r="K108" s="59">
        <f t="shared" ref="K108:S108" si="65">-K140</f>
        <v>-444.15097714148118</v>
      </c>
      <c r="L108" s="59">
        <f t="shared" si="65"/>
        <v>-440.00796082533094</v>
      </c>
      <c r="M108" s="59">
        <f t="shared" si="65"/>
        <v>-434.63214269330524</v>
      </c>
      <c r="N108" s="59">
        <f t="shared" si="65"/>
        <v>-428.14161246437209</v>
      </c>
      <c r="O108" s="59">
        <f t="shared" si="65"/>
        <v>-420.65517577412652</v>
      </c>
      <c r="P108" s="59">
        <f t="shared" si="65"/>
        <v>-412.29051115200775</v>
      </c>
      <c r="Q108" s="59">
        <f t="shared" si="65"/>
        <v>-403.16261486798032</v>
      </c>
      <c r="R108" s="59">
        <f t="shared" si="65"/>
        <v>-393.38252276679049</v>
      </c>
      <c r="S108" s="59">
        <f t="shared" si="65"/>
        <v>-383.05629222437022</v>
      </c>
    </row>
    <row r="109" spans="2:19" x14ac:dyDescent="0.3">
      <c r="B109" t="s">
        <v>204</v>
      </c>
      <c r="E109" s="29">
        <f>CF!D52</f>
        <v>-3</v>
      </c>
      <c r="F109" s="29">
        <f>CF!E52</f>
        <v>-18</v>
      </c>
      <c r="G109" s="29">
        <f>CF!F52</f>
        <v>-9</v>
      </c>
      <c r="H109" s="29">
        <f>CF!G52</f>
        <v>-21</v>
      </c>
      <c r="I109" s="29">
        <f>CF!H52</f>
        <v>-103</v>
      </c>
      <c r="J109" s="59">
        <v>0</v>
      </c>
      <c r="K109" s="59">
        <f>J109</f>
        <v>0</v>
      </c>
      <c r="L109" s="59">
        <f t="shared" ref="L109:S109" si="66">K109</f>
        <v>0</v>
      </c>
      <c r="M109" s="59">
        <f t="shared" si="66"/>
        <v>0</v>
      </c>
      <c r="N109" s="59">
        <f t="shared" si="66"/>
        <v>0</v>
      </c>
      <c r="O109" s="59">
        <f t="shared" si="66"/>
        <v>0</v>
      </c>
      <c r="P109" s="59">
        <f t="shared" si="66"/>
        <v>0</v>
      </c>
      <c r="Q109" s="59">
        <f t="shared" si="66"/>
        <v>0</v>
      </c>
      <c r="R109" s="59">
        <f t="shared" si="66"/>
        <v>0</v>
      </c>
      <c r="S109" s="59">
        <f t="shared" si="66"/>
        <v>0</v>
      </c>
    </row>
    <row r="110" spans="2:19" x14ac:dyDescent="0.3">
      <c r="B110" t="s">
        <v>205</v>
      </c>
      <c r="E110" s="29">
        <f>SUM(CF!D49:D51,CF!D53:D65)</f>
        <v>-662</v>
      </c>
      <c r="F110" s="29">
        <f>SUM(CF!E49:E51,CF!E53:E65)</f>
        <v>-563</v>
      </c>
      <c r="G110" s="29">
        <f>SUM(CF!F49:F51,CF!F53:F65)</f>
        <v>-4275</v>
      </c>
      <c r="H110" s="29">
        <f>SUM(CF!G49:G51,CF!G53:G65)</f>
        <v>6913</v>
      </c>
      <c r="I110" s="29">
        <f>SUM(CF!H49:H51,CF!H53:H65)</f>
        <v>-2756</v>
      </c>
      <c r="J110" s="59">
        <f>I71-J71</f>
        <v>0</v>
      </c>
      <c r="K110" s="59">
        <f>J71-K71</f>
        <v>0</v>
      </c>
      <c r="L110" s="59">
        <f>K71-L71</f>
        <v>0</v>
      </c>
      <c r="M110" s="59">
        <f>L71-M71</f>
        <v>0</v>
      </c>
      <c r="N110" s="59">
        <f>M71-N71</f>
        <v>0</v>
      </c>
      <c r="O110" s="59">
        <f t="shared" ref="O110:S110" si="67">N71-O71</f>
        <v>0</v>
      </c>
      <c r="P110" s="59">
        <f t="shared" si="67"/>
        <v>0</v>
      </c>
      <c r="Q110" s="59">
        <f t="shared" si="67"/>
        <v>0</v>
      </c>
      <c r="R110" s="59">
        <f t="shared" si="67"/>
        <v>0</v>
      </c>
      <c r="S110" s="59">
        <f t="shared" si="67"/>
        <v>0</v>
      </c>
    </row>
    <row r="111" spans="2:19" x14ac:dyDescent="0.3">
      <c r="B111" t="s">
        <v>133</v>
      </c>
      <c r="E111" s="29">
        <f>CF!D66</f>
        <v>161</v>
      </c>
      <c r="F111" s="29">
        <f>CF!E66</f>
        <v>259</v>
      </c>
      <c r="G111" s="29">
        <f>CF!F66</f>
        <v>425</v>
      </c>
      <c r="H111" s="29">
        <f>CF!G66</f>
        <v>835</v>
      </c>
      <c r="I111" s="29">
        <f>CF!H66</f>
        <v>428</v>
      </c>
      <c r="J111" s="59">
        <f t="shared" ref="J111:S111" si="68">J43</f>
        <v>737.3822062700317</v>
      </c>
      <c r="K111" s="59">
        <f t="shared" si="68"/>
        <v>775.14918664856566</v>
      </c>
      <c r="L111" s="59">
        <f t="shared" si="68"/>
        <v>812.46842386536412</v>
      </c>
      <c r="M111" s="59">
        <f t="shared" si="68"/>
        <v>849.23742294557383</v>
      </c>
      <c r="N111" s="59">
        <f t="shared" si="68"/>
        <v>885.36445577490065</v>
      </c>
      <c r="O111" s="59">
        <f t="shared" si="68"/>
        <v>920.76851888110696</v>
      </c>
      <c r="P111" s="59">
        <f t="shared" si="68"/>
        <v>955.37913572243303</v>
      </c>
      <c r="Q111" s="59">
        <f t="shared" si="68"/>
        <v>989.13602998525562</v>
      </c>
      <c r="R111" s="59">
        <f t="shared" si="68"/>
        <v>1021.9886950473629</v>
      </c>
      <c r="S111" s="59">
        <f t="shared" si="68"/>
        <v>1053.8958829377711</v>
      </c>
    </row>
    <row r="112" spans="2:19" x14ac:dyDescent="0.3">
      <c r="B112" t="s">
        <v>206</v>
      </c>
      <c r="E112" s="29">
        <f>CF!D67</f>
        <v>1</v>
      </c>
      <c r="F112" s="29">
        <f>CF!E67</f>
        <v>2</v>
      </c>
      <c r="G112" s="29">
        <f>CF!F67</f>
        <v>3</v>
      </c>
      <c r="H112" s="29">
        <f>CF!G67</f>
        <v>0</v>
      </c>
      <c r="I112" s="29">
        <f>CF!H67</f>
        <v>5</v>
      </c>
      <c r="J112" s="59">
        <v>0</v>
      </c>
      <c r="K112" s="59">
        <f>J112</f>
        <v>0</v>
      </c>
      <c r="L112" s="59">
        <f t="shared" ref="L112:S112" si="69">K112</f>
        <v>0</v>
      </c>
      <c r="M112" s="59">
        <f t="shared" si="69"/>
        <v>0</v>
      </c>
      <c r="N112" s="59">
        <f t="shared" si="69"/>
        <v>0</v>
      </c>
      <c r="O112" s="59">
        <f t="shared" si="69"/>
        <v>0</v>
      </c>
      <c r="P112" s="59">
        <f t="shared" si="69"/>
        <v>0</v>
      </c>
      <c r="Q112" s="59">
        <f t="shared" si="69"/>
        <v>0</v>
      </c>
      <c r="R112" s="59">
        <f t="shared" si="69"/>
        <v>0</v>
      </c>
      <c r="S112" s="59">
        <f t="shared" si="69"/>
        <v>0</v>
      </c>
    </row>
    <row r="113" spans="2:19" x14ac:dyDescent="0.3">
      <c r="E113" s="30"/>
      <c r="F113" s="30"/>
      <c r="G113" s="30"/>
      <c r="H113" s="30"/>
      <c r="I113" s="30"/>
      <c r="J113" s="59"/>
      <c r="K113" s="59"/>
      <c r="L113" s="59"/>
      <c r="M113" s="59"/>
      <c r="N113" s="59"/>
      <c r="O113" s="59"/>
      <c r="P113" s="59"/>
      <c r="Q113" s="59"/>
      <c r="R113" s="59"/>
      <c r="S113" s="59"/>
    </row>
    <row r="114" spans="2:19" x14ac:dyDescent="0.3">
      <c r="B114" s="11" t="s">
        <v>207</v>
      </c>
      <c r="C114" s="11"/>
      <c r="D114" s="11"/>
      <c r="E114" s="31">
        <f>SUM(E108:E112)</f>
        <v>-1728</v>
      </c>
      <c r="F114" s="31">
        <f t="shared" ref="F114:S114" si="70">SUM(F108:F112)</f>
        <v>-1494</v>
      </c>
      <c r="G114" s="31">
        <f t="shared" si="70"/>
        <v>-5324</v>
      </c>
      <c r="H114" s="31">
        <f t="shared" si="70"/>
        <v>6473</v>
      </c>
      <c r="I114" s="31">
        <f t="shared" si="70"/>
        <v>-3684</v>
      </c>
      <c r="J114" s="63">
        <f t="shared" si="70"/>
        <v>290.43625472393649</v>
      </c>
      <c r="K114" s="63">
        <f t="shared" si="70"/>
        <v>330.99820950708448</v>
      </c>
      <c r="L114" s="63">
        <f t="shared" si="70"/>
        <v>372.46046304003318</v>
      </c>
      <c r="M114" s="63">
        <f t="shared" si="70"/>
        <v>414.60528025226859</v>
      </c>
      <c r="N114" s="63">
        <f t="shared" si="70"/>
        <v>457.22284331052856</v>
      </c>
      <c r="O114" s="63">
        <f t="shared" si="70"/>
        <v>500.11334310698044</v>
      </c>
      <c r="P114" s="63">
        <f t="shared" si="70"/>
        <v>543.08862457042528</v>
      </c>
      <c r="Q114" s="63">
        <f t="shared" si="70"/>
        <v>585.97341511727529</v>
      </c>
      <c r="R114" s="63">
        <f t="shared" si="70"/>
        <v>628.60617228057231</v>
      </c>
      <c r="S114" s="63">
        <f t="shared" si="70"/>
        <v>670.83959071340087</v>
      </c>
    </row>
    <row r="115" spans="2:19" x14ac:dyDescent="0.3">
      <c r="E115" s="30"/>
      <c r="F115" s="30"/>
      <c r="G115" s="30"/>
      <c r="H115" s="30"/>
      <c r="I115" s="30"/>
    </row>
    <row r="116" spans="2:19" x14ac:dyDescent="0.3">
      <c r="B116" s="4" t="s">
        <v>208</v>
      </c>
      <c r="E116" s="30"/>
      <c r="F116" s="30"/>
      <c r="G116" s="30"/>
      <c r="H116" s="30"/>
      <c r="I116" s="30"/>
    </row>
    <row r="117" spans="2:19" x14ac:dyDescent="0.3">
      <c r="B117" t="s">
        <v>209</v>
      </c>
      <c r="E117" s="29">
        <f>SUM(CF!D73:D76)</f>
        <v>-407</v>
      </c>
      <c r="F117" s="29">
        <f>SUM(CF!E73:E76)</f>
        <v>-389</v>
      </c>
      <c r="G117" s="29">
        <f>SUM(CF!F73:F76)</f>
        <v>-508</v>
      </c>
      <c r="H117" s="29">
        <f>SUM(CF!G73:G76)</f>
        <v>-498</v>
      </c>
      <c r="I117" s="29">
        <f>SUM(CF!H73:H76)</f>
        <v>-557</v>
      </c>
      <c r="J117" s="59">
        <f>J146</f>
        <v>0</v>
      </c>
      <c r="K117" s="59">
        <f t="shared" ref="K117:N117" si="71">K146</f>
        <v>0</v>
      </c>
      <c r="L117" s="59">
        <f t="shared" si="71"/>
        <v>0</v>
      </c>
      <c r="M117" s="59">
        <f t="shared" si="71"/>
        <v>0</v>
      </c>
      <c r="N117" s="59">
        <f t="shared" si="71"/>
        <v>0</v>
      </c>
      <c r="O117" s="59">
        <f>O146</f>
        <v>0</v>
      </c>
      <c r="P117" s="59">
        <f t="shared" ref="P117:S117" si="72">P146</f>
        <v>0</v>
      </c>
      <c r="Q117" s="59">
        <f t="shared" si="72"/>
        <v>0</v>
      </c>
      <c r="R117" s="59">
        <f t="shared" si="72"/>
        <v>0</v>
      </c>
      <c r="S117" s="59">
        <f t="shared" si="72"/>
        <v>0</v>
      </c>
    </row>
    <row r="118" spans="2:19" x14ac:dyDescent="0.3">
      <c r="B118" t="s">
        <v>144</v>
      </c>
      <c r="E118" s="32">
        <f>CF!D79</f>
        <v>0</v>
      </c>
      <c r="F118" s="32">
        <f>CF!E79</f>
        <v>-2</v>
      </c>
      <c r="G118" s="32">
        <f>CF!F79</f>
        <v>0</v>
      </c>
      <c r="H118" s="32">
        <f>CF!G79</f>
        <v>0</v>
      </c>
      <c r="I118" s="32">
        <f>CF!H79</f>
        <v>0</v>
      </c>
      <c r="J118" s="59">
        <v>0</v>
      </c>
      <c r="K118" s="59">
        <f t="shared" ref="K118:S118" si="73">J118</f>
        <v>0</v>
      </c>
      <c r="L118" s="59">
        <f t="shared" si="73"/>
        <v>0</v>
      </c>
      <c r="M118" s="59">
        <f t="shared" si="73"/>
        <v>0</v>
      </c>
      <c r="N118" s="59">
        <f t="shared" si="73"/>
        <v>0</v>
      </c>
      <c r="O118" s="59">
        <f t="shared" si="73"/>
        <v>0</v>
      </c>
      <c r="P118" s="59">
        <f t="shared" si="73"/>
        <v>0</v>
      </c>
      <c r="Q118" s="59">
        <f t="shared" si="73"/>
        <v>0</v>
      </c>
      <c r="R118" s="59">
        <f t="shared" si="73"/>
        <v>0</v>
      </c>
      <c r="S118" s="59">
        <f t="shared" si="73"/>
        <v>0</v>
      </c>
    </row>
    <row r="119" spans="2:19" x14ac:dyDescent="0.3">
      <c r="B119" t="s">
        <v>210</v>
      </c>
      <c r="E119" s="29">
        <f>SUM(CF!D77:D78)</f>
        <v>-82</v>
      </c>
      <c r="F119" s="29">
        <f>SUM(CF!E77:E78)</f>
        <v>-88</v>
      </c>
      <c r="G119" s="29">
        <f>SUM(CF!F77:F78)</f>
        <v>-110</v>
      </c>
      <c r="H119" s="29">
        <f>SUM(CF!G77:G78)</f>
        <v>-130</v>
      </c>
      <c r="I119" s="29">
        <f>SUM(CF!H77:H78)</f>
        <v>-129</v>
      </c>
      <c r="J119" s="59">
        <f>J148</f>
        <v>-265.52390850607469</v>
      </c>
      <c r="K119" s="59">
        <f t="shared" ref="K119:S119" si="74">K148</f>
        <v>-265.52390850607469</v>
      </c>
      <c r="L119" s="59">
        <f t="shared" si="74"/>
        <v>-265.52390850607469</v>
      </c>
      <c r="M119" s="59">
        <f t="shared" si="74"/>
        <v>-265.52390850607469</v>
      </c>
      <c r="N119" s="59">
        <f t="shared" si="74"/>
        <v>-265.52390850607469</v>
      </c>
      <c r="O119" s="59">
        <f t="shared" si="74"/>
        <v>-265.52390850607469</v>
      </c>
      <c r="P119" s="59">
        <f t="shared" si="74"/>
        <v>-265.52390850607469</v>
      </c>
      <c r="Q119" s="59">
        <f t="shared" si="74"/>
        <v>-265.52390850607469</v>
      </c>
      <c r="R119" s="59">
        <f t="shared" si="74"/>
        <v>-265.52390850607469</v>
      </c>
      <c r="S119" s="59">
        <f t="shared" si="74"/>
        <v>-265.52390850607469</v>
      </c>
    </row>
    <row r="120" spans="2:19" x14ac:dyDescent="0.3">
      <c r="B120" t="s">
        <v>211</v>
      </c>
      <c r="E120" s="29">
        <f>CF!D72</f>
        <v>-7526</v>
      </c>
      <c r="F120" s="29">
        <f>CF!E72</f>
        <v>-8474</v>
      </c>
      <c r="G120" s="29">
        <f>CF!F72</f>
        <v>-9416</v>
      </c>
      <c r="H120" s="29">
        <f>CF!G72</f>
        <v>-12473</v>
      </c>
      <c r="I120" s="29">
        <f>CF!H72</f>
        <v>-10124</v>
      </c>
      <c r="J120" s="59">
        <f t="shared" ref="J120:S120" si="75">-J52*J20</f>
        <v>-10785.330310063609</v>
      </c>
      <c r="K120" s="59">
        <f t="shared" si="75"/>
        <v>-11461.891998835699</v>
      </c>
      <c r="L120" s="59">
        <f t="shared" si="75"/>
        <v>-12122.617232643759</v>
      </c>
      <c r="M120" s="59">
        <f t="shared" si="75"/>
        <v>-12767.148364665723</v>
      </c>
      <c r="N120" s="59">
        <f t="shared" si="75"/>
        <v>-13395.113178949739</v>
      </c>
      <c r="O120" s="59">
        <f t="shared" si="75"/>
        <v>-14006.149725775118</v>
      </c>
      <c r="P120" s="59">
        <f t="shared" si="75"/>
        <v>-14599.925361410127</v>
      </c>
      <c r="Q120" s="59">
        <f t="shared" si="75"/>
        <v>-15176.150840747412</v>
      </c>
      <c r="R120" s="59">
        <f t="shared" si="75"/>
        <v>-15734.590232539755</v>
      </c>
      <c r="S120" s="59">
        <f t="shared" si="75"/>
        <v>-16275.0673489904</v>
      </c>
    </row>
    <row r="121" spans="2:19" x14ac:dyDescent="0.3">
      <c r="E121" s="30"/>
      <c r="F121" s="30"/>
      <c r="G121" s="30"/>
      <c r="H121" s="30"/>
      <c r="I121" s="30"/>
      <c r="J121" s="59"/>
      <c r="K121" s="59"/>
      <c r="L121" s="59"/>
      <c r="M121" s="59"/>
      <c r="N121" s="59"/>
      <c r="O121" s="59"/>
      <c r="P121" s="59"/>
      <c r="Q121" s="59"/>
      <c r="R121" s="59"/>
      <c r="S121" s="59"/>
    </row>
    <row r="122" spans="2:19" x14ac:dyDescent="0.3">
      <c r="B122" s="11" t="s">
        <v>212</v>
      </c>
      <c r="C122" s="11"/>
      <c r="D122" s="11"/>
      <c r="E122" s="31">
        <f>SUM(E117:E120)</f>
        <v>-8015</v>
      </c>
      <c r="F122" s="31">
        <f t="shared" ref="F122:S122" si="76">SUM(F117:F120)</f>
        <v>-8953</v>
      </c>
      <c r="G122" s="31">
        <f t="shared" si="76"/>
        <v>-10034</v>
      </c>
      <c r="H122" s="31">
        <f t="shared" si="76"/>
        <v>-13101</v>
      </c>
      <c r="I122" s="31">
        <f t="shared" si="76"/>
        <v>-10810</v>
      </c>
      <c r="J122" s="63">
        <f t="shared" si="76"/>
        <v>-11050.854218569684</v>
      </c>
      <c r="K122" s="63">
        <f t="shared" si="76"/>
        <v>-11727.415907341774</v>
      </c>
      <c r="L122" s="63">
        <f t="shared" si="76"/>
        <v>-12388.141141149834</v>
      </c>
      <c r="M122" s="63">
        <f t="shared" si="76"/>
        <v>-13032.672273171798</v>
      </c>
      <c r="N122" s="63">
        <f t="shared" si="76"/>
        <v>-13660.637087455814</v>
      </c>
      <c r="O122" s="63">
        <f t="shared" si="76"/>
        <v>-14271.673634281193</v>
      </c>
      <c r="P122" s="63">
        <f t="shared" si="76"/>
        <v>-14865.449269916202</v>
      </c>
      <c r="Q122" s="63">
        <f t="shared" si="76"/>
        <v>-15441.674749253487</v>
      </c>
      <c r="R122" s="63">
        <f t="shared" si="76"/>
        <v>-16000.114141045829</v>
      </c>
      <c r="S122" s="63">
        <f t="shared" si="76"/>
        <v>-16540.591257496475</v>
      </c>
    </row>
    <row r="124" spans="2:19" x14ac:dyDescent="0.3">
      <c r="B124" t="s">
        <v>213</v>
      </c>
      <c r="E124" s="22">
        <f>E105+E114+E122</f>
        <v>-695</v>
      </c>
      <c r="F124" s="22">
        <f t="shared" ref="F124:I124" si="77">F105+F114+F122</f>
        <v>-456</v>
      </c>
      <c r="G124" s="22">
        <f t="shared" si="77"/>
        <v>111</v>
      </c>
      <c r="H124" s="22">
        <f t="shared" si="77"/>
        <v>5258</v>
      </c>
      <c r="I124" s="22">
        <f t="shared" si="77"/>
        <v>-3495</v>
      </c>
      <c r="J124" s="54">
        <f>J105+J114+J122</f>
        <v>-92.140241421117025</v>
      </c>
      <c r="K124" s="54">
        <f t="shared" ref="K124:S124" si="78">K105+K114+K122</f>
        <v>1461.1837811328369</v>
      </c>
      <c r="L124" s="54">
        <f t="shared" si="78"/>
        <v>1423.3446155590282</v>
      </c>
      <c r="M124" s="54">
        <f t="shared" si="78"/>
        <v>1395.5137482662631</v>
      </c>
      <c r="N124" s="54">
        <f t="shared" si="78"/>
        <v>1376.0354074070874</v>
      </c>
      <c r="O124" s="54">
        <f t="shared" si="78"/>
        <v>1363.4839631681789</v>
      </c>
      <c r="P124" s="54">
        <f t="shared" si="78"/>
        <v>1356.6347604620751</v>
      </c>
      <c r="Q124" s="54">
        <f t="shared" si="78"/>
        <v>1354.4385313900475</v>
      </c>
      <c r="R124" s="54">
        <f t="shared" si="78"/>
        <v>1355.9989268799909</v>
      </c>
      <c r="S124" s="54">
        <f t="shared" si="78"/>
        <v>1360.5527740206635</v>
      </c>
    </row>
    <row r="125" spans="2:19" x14ac:dyDescent="0.3">
      <c r="B125" t="s">
        <v>214</v>
      </c>
      <c r="E125" s="22">
        <f>CF!D84</f>
        <v>1842</v>
      </c>
      <c r="F125" s="22">
        <f>CF!E84</f>
        <v>1147</v>
      </c>
      <c r="G125" s="22">
        <f>CF!F84</f>
        <v>701</v>
      </c>
      <c r="H125" s="22">
        <f>CF!G84</f>
        <v>812</v>
      </c>
      <c r="I125" s="22">
        <f>CF!H84</f>
        <v>6070</v>
      </c>
      <c r="J125" s="54">
        <f>I127</f>
        <v>2583</v>
      </c>
      <c r="K125" s="54">
        <f t="shared" ref="K125:S125" si="79">J127</f>
        <v>2490.859758578883</v>
      </c>
      <c r="L125" s="54">
        <f t="shared" si="79"/>
        <v>3952.0435397117199</v>
      </c>
      <c r="M125" s="54">
        <f t="shared" si="79"/>
        <v>5375.388155270748</v>
      </c>
      <c r="N125" s="54">
        <f t="shared" si="79"/>
        <v>6770.9019035370111</v>
      </c>
      <c r="O125" s="54">
        <f t="shared" si="79"/>
        <v>8146.9373109440985</v>
      </c>
      <c r="P125" s="54">
        <f t="shared" si="79"/>
        <v>9510.4212741122774</v>
      </c>
      <c r="Q125" s="54">
        <f t="shared" si="79"/>
        <v>10867.056034574352</v>
      </c>
      <c r="R125" s="54">
        <f t="shared" si="79"/>
        <v>12221.4945659644</v>
      </c>
      <c r="S125" s="54">
        <f t="shared" si="79"/>
        <v>13577.493492844391</v>
      </c>
    </row>
    <row r="126" spans="2:19" x14ac:dyDescent="0.3">
      <c r="B126" t="s">
        <v>217</v>
      </c>
      <c r="E126" s="22">
        <f>CF!D85</f>
        <v>0</v>
      </c>
      <c r="F126" s="22">
        <f>CF!E85</f>
        <v>10</v>
      </c>
      <c r="G126" s="22">
        <f>CF!F85</f>
        <v>0</v>
      </c>
      <c r="H126" s="22">
        <f>CF!G85</f>
        <v>0</v>
      </c>
      <c r="I126" s="22">
        <f>CF!H85</f>
        <v>8</v>
      </c>
      <c r="J126" s="56">
        <v>0</v>
      </c>
      <c r="K126" s="56">
        <f>J126</f>
        <v>0</v>
      </c>
      <c r="L126" s="56">
        <f t="shared" ref="L126:S126" si="80">K126</f>
        <v>0</v>
      </c>
      <c r="M126" s="56">
        <f t="shared" si="80"/>
        <v>0</v>
      </c>
      <c r="N126" s="56">
        <f t="shared" si="80"/>
        <v>0</v>
      </c>
      <c r="O126" s="56">
        <f t="shared" si="80"/>
        <v>0</v>
      </c>
      <c r="P126" s="56">
        <f t="shared" si="80"/>
        <v>0</v>
      </c>
      <c r="Q126" s="56">
        <f t="shared" si="80"/>
        <v>0</v>
      </c>
      <c r="R126" s="56">
        <f t="shared" si="80"/>
        <v>0</v>
      </c>
      <c r="S126" s="56">
        <f t="shared" si="80"/>
        <v>0</v>
      </c>
    </row>
    <row r="127" spans="2:19" x14ac:dyDescent="0.3">
      <c r="B127" s="11" t="s">
        <v>215</v>
      </c>
      <c r="C127" s="12"/>
      <c r="D127" s="12"/>
      <c r="E127" s="27">
        <f>SUM(E124:E126)</f>
        <v>1147</v>
      </c>
      <c r="F127" s="27">
        <f t="shared" ref="F127:I127" si="81">SUM(F124:F126)</f>
        <v>701</v>
      </c>
      <c r="G127" s="27">
        <f t="shared" si="81"/>
        <v>812</v>
      </c>
      <c r="H127" s="27">
        <f t="shared" si="81"/>
        <v>6070</v>
      </c>
      <c r="I127" s="27">
        <f t="shared" si="81"/>
        <v>2583</v>
      </c>
      <c r="J127" s="60">
        <f>SUM(J124:J126)</f>
        <v>2490.859758578883</v>
      </c>
      <c r="K127" s="60">
        <f t="shared" ref="K127:S127" si="82">SUM(K124:K126)</f>
        <v>3952.0435397117199</v>
      </c>
      <c r="L127" s="60">
        <f t="shared" si="82"/>
        <v>5375.388155270748</v>
      </c>
      <c r="M127" s="60">
        <f t="shared" si="82"/>
        <v>6770.9019035370111</v>
      </c>
      <c r="N127" s="60">
        <f t="shared" si="82"/>
        <v>8146.9373109440985</v>
      </c>
      <c r="O127" s="60">
        <f t="shared" si="82"/>
        <v>9510.4212741122774</v>
      </c>
      <c r="P127" s="60">
        <f t="shared" si="82"/>
        <v>10867.056034574352</v>
      </c>
      <c r="Q127" s="60">
        <f t="shared" si="82"/>
        <v>12221.4945659644</v>
      </c>
      <c r="R127" s="60">
        <f t="shared" si="82"/>
        <v>13577.493492844391</v>
      </c>
      <c r="S127" s="60">
        <f t="shared" si="82"/>
        <v>14938.046266865054</v>
      </c>
    </row>
    <row r="129" spans="2:19" ht="18" x14ac:dyDescent="0.35">
      <c r="B129" s="19" t="s">
        <v>218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1" spans="2:19" x14ac:dyDescent="0.3">
      <c r="B131" s="4" t="s">
        <v>219</v>
      </c>
    </row>
    <row r="132" spans="2:19" x14ac:dyDescent="0.3">
      <c r="B132" t="s">
        <v>220</v>
      </c>
      <c r="E132" s="22">
        <f>CF!D35</f>
        <v>-480</v>
      </c>
      <c r="F132" s="22">
        <f>CF!E35</f>
        <v>-1111</v>
      </c>
      <c r="G132" s="22">
        <f>CF!F35</f>
        <v>220</v>
      </c>
      <c r="H132" s="22">
        <f>CF!G35</f>
        <v>-1275</v>
      </c>
      <c r="I132" s="22">
        <f>CF!H35</f>
        <v>76</v>
      </c>
      <c r="J132" s="54">
        <f t="shared" ref="J132:S132" si="83">I62-J62</f>
        <v>-85.240771250528269</v>
      </c>
      <c r="K132" s="54">
        <f t="shared" si="83"/>
        <v>-177.43025546567696</v>
      </c>
      <c r="L132" s="54">
        <f t="shared" si="83"/>
        <v>-175.32674645400812</v>
      </c>
      <c r="M132" s="54">
        <f t="shared" si="83"/>
        <v>-172.74171338640872</v>
      </c>
      <c r="N132" s="54">
        <f t="shared" si="83"/>
        <v>-169.72573925363849</v>
      </c>
      <c r="O132" s="54">
        <f t="shared" si="83"/>
        <v>-166.3292087028376</v>
      </c>
      <c r="P132" s="54">
        <f t="shared" si="83"/>
        <v>-162.60157752700707</v>
      </c>
      <c r="Q132" s="54">
        <f t="shared" si="83"/>
        <v>-158.59076666306009</v>
      </c>
      <c r="R132" s="54">
        <f t="shared" si="83"/>
        <v>-154.34267437518247</v>
      </c>
      <c r="S132" s="54">
        <f t="shared" si="83"/>
        <v>-149.90079804749894</v>
      </c>
    </row>
    <row r="133" spans="2:19" x14ac:dyDescent="0.3">
      <c r="B133" t="s">
        <v>221</v>
      </c>
      <c r="E133" s="22">
        <f>CF!D36</f>
        <v>-758</v>
      </c>
      <c r="F133" s="22">
        <f>CF!E36</f>
        <v>-339</v>
      </c>
      <c r="G133" s="22">
        <f>CF!F36</f>
        <v>74</v>
      </c>
      <c r="H133" s="22">
        <f>CF!G36</f>
        <v>-584</v>
      </c>
      <c r="I133" s="22">
        <f>CF!H36</f>
        <v>-692</v>
      </c>
      <c r="J133" s="54">
        <f t="shared" ref="J133:S133" si="84">I63-J63</f>
        <v>-74.789582349065313</v>
      </c>
      <c r="K133" s="54">
        <f t="shared" si="84"/>
        <v>-249.11185021818528</v>
      </c>
      <c r="L133" s="54">
        <f t="shared" si="84"/>
        <v>-246.15852627423737</v>
      </c>
      <c r="M133" s="54">
        <f t="shared" si="84"/>
        <v>-242.52914317576597</v>
      </c>
      <c r="N133" s="54">
        <f t="shared" si="84"/>
        <v>-238.29471937666403</v>
      </c>
      <c r="O133" s="54">
        <f t="shared" si="84"/>
        <v>-233.52599485664268</v>
      </c>
      <c r="P133" s="54">
        <f t="shared" si="84"/>
        <v>-228.29240548539929</v>
      </c>
      <c r="Q133" s="54">
        <f t="shared" si="84"/>
        <v>-222.66123219665769</v>
      </c>
      <c r="R133" s="54">
        <f t="shared" si="84"/>
        <v>-216.69691609423808</v>
      </c>
      <c r="S133" s="54">
        <f t="shared" si="84"/>
        <v>-210.4605274494379</v>
      </c>
    </row>
    <row r="134" spans="2:19" x14ac:dyDescent="0.3">
      <c r="B134" t="s">
        <v>222</v>
      </c>
      <c r="E134" s="22">
        <f>CF!D38</f>
        <v>149</v>
      </c>
      <c r="F134" s="22">
        <f>CF!E38</f>
        <v>622</v>
      </c>
      <c r="G134" s="22">
        <f>CF!F38</f>
        <v>921</v>
      </c>
      <c r="H134" s="22">
        <f>CF!G38</f>
        <v>1442</v>
      </c>
      <c r="I134" s="22">
        <f>CF!H38</f>
        <v>1476</v>
      </c>
      <c r="J134" s="54">
        <f>J78-I78</f>
        <v>-1249.4189867730729</v>
      </c>
      <c r="K134" s="54">
        <f>K78-J78</f>
        <v>618.48282655593357</v>
      </c>
      <c r="L134" s="54">
        <f>L78-K78</f>
        <v>611.15045702397947</v>
      </c>
      <c r="M134" s="54">
        <f>M78-L78</f>
        <v>602.1396005937022</v>
      </c>
      <c r="N134" s="54">
        <f>N78-M78</f>
        <v>591.62657843995657</v>
      </c>
      <c r="O134" s="54">
        <f t="shared" ref="O134:S134" si="85">O78-N78</f>
        <v>579.78702035540118</v>
      </c>
      <c r="P134" s="54">
        <f t="shared" si="85"/>
        <v>566.79331835156518</v>
      </c>
      <c r="Q134" s="54">
        <f t="shared" si="85"/>
        <v>552.81251426939525</v>
      </c>
      <c r="R134" s="54">
        <f t="shared" si="85"/>
        <v>538.00459935780782</v>
      </c>
      <c r="S134" s="54">
        <f t="shared" si="85"/>
        <v>522.5211959261469</v>
      </c>
    </row>
    <row r="135" spans="2:19" x14ac:dyDescent="0.3">
      <c r="B135" t="s">
        <v>223</v>
      </c>
      <c r="E135" s="22">
        <f>CF!D34+CF!D37</f>
        <v>89</v>
      </c>
      <c r="F135" s="22">
        <f>CF!E34+CF!E37</f>
        <v>-130</v>
      </c>
      <c r="G135" s="22">
        <f>CF!F34+CF!F37</f>
        <v>98</v>
      </c>
      <c r="H135" s="22">
        <f>CF!G34+CF!G37</f>
        <v>-371</v>
      </c>
      <c r="I135" s="22">
        <f>CF!H34+CF!H37</f>
        <v>-174</v>
      </c>
      <c r="J135" s="54">
        <f t="shared" ref="J135:S135" si="86">I64-J64+I79-J79</f>
        <v>0</v>
      </c>
      <c r="K135" s="54">
        <f t="shared" si="86"/>
        <v>0</v>
      </c>
      <c r="L135" s="54">
        <f t="shared" si="86"/>
        <v>0</v>
      </c>
      <c r="M135" s="54">
        <f t="shared" si="86"/>
        <v>0</v>
      </c>
      <c r="N135" s="54">
        <f t="shared" si="86"/>
        <v>0</v>
      </c>
      <c r="O135" s="54">
        <f t="shared" si="86"/>
        <v>0</v>
      </c>
      <c r="P135" s="54">
        <f t="shared" si="86"/>
        <v>0</v>
      </c>
      <c r="Q135" s="54">
        <f t="shared" si="86"/>
        <v>0</v>
      </c>
      <c r="R135" s="54">
        <f t="shared" si="86"/>
        <v>0</v>
      </c>
      <c r="S135" s="54">
        <f t="shared" si="86"/>
        <v>0</v>
      </c>
    </row>
    <row r="136" spans="2:19" x14ac:dyDescent="0.3">
      <c r="B136" s="7" t="s">
        <v>224</v>
      </c>
      <c r="C136" s="8"/>
      <c r="D136" s="8"/>
      <c r="E136" s="24">
        <f>SUM(E132:E135)</f>
        <v>-1000</v>
      </c>
      <c r="F136" s="24">
        <f>SUM(F132:F135)</f>
        <v>-958</v>
      </c>
      <c r="G136" s="24">
        <f t="shared" ref="G136:I136" si="87">SUM(G132:G135)</f>
        <v>1313</v>
      </c>
      <c r="H136" s="24">
        <f t="shared" si="87"/>
        <v>-788</v>
      </c>
      <c r="I136" s="24">
        <f t="shared" si="87"/>
        <v>686</v>
      </c>
      <c r="J136" s="55">
        <f>SUM(J132:J135)</f>
        <v>-1409.4493403726665</v>
      </c>
      <c r="K136" s="55">
        <f t="shared" ref="K136:S136" si="88">SUM(K132:K135)</f>
        <v>191.94072087207132</v>
      </c>
      <c r="L136" s="55">
        <f t="shared" si="88"/>
        <v>189.66518429573398</v>
      </c>
      <c r="M136" s="55">
        <f t="shared" si="88"/>
        <v>186.86874403152751</v>
      </c>
      <c r="N136" s="55">
        <f t="shared" si="88"/>
        <v>183.60611980965405</v>
      </c>
      <c r="O136" s="55">
        <f t="shared" si="88"/>
        <v>179.93181679592089</v>
      </c>
      <c r="P136" s="55">
        <f t="shared" si="88"/>
        <v>175.89933533915882</v>
      </c>
      <c r="Q136" s="55">
        <f t="shared" si="88"/>
        <v>171.56051540967746</v>
      </c>
      <c r="R136" s="55">
        <f t="shared" si="88"/>
        <v>166.96500888838727</v>
      </c>
      <c r="S136" s="55">
        <f t="shared" si="88"/>
        <v>162.15987042921006</v>
      </c>
    </row>
    <row r="138" spans="2:19" x14ac:dyDescent="0.3">
      <c r="B138" s="4" t="s">
        <v>241</v>
      </c>
    </row>
    <row r="139" spans="2:19" x14ac:dyDescent="0.3">
      <c r="B139" t="s">
        <v>242</v>
      </c>
      <c r="F139" s="40">
        <f>E142</f>
        <v>6169</v>
      </c>
      <c r="G139" s="40">
        <f t="shared" ref="G139:H139" si="89">F142</f>
        <v>6949</v>
      </c>
      <c r="H139" s="40">
        <f t="shared" si="89"/>
        <v>8031</v>
      </c>
      <c r="I139" s="40">
        <f>H142</f>
        <v>8625</v>
      </c>
      <c r="J139" s="58">
        <f>I142</f>
        <v>8182</v>
      </c>
      <c r="K139" s="58">
        <f t="shared" ref="K139:S139" si="90">J142</f>
        <v>7511.9887684285222</v>
      </c>
      <c r="L139" s="58">
        <f t="shared" si="90"/>
        <v>6930.6484458395262</v>
      </c>
      <c r="M139" s="58">
        <f t="shared" si="90"/>
        <v>6424.5261738069867</v>
      </c>
      <c r="N139" s="58">
        <f t="shared" si="90"/>
        <v>5982.1208369157694</v>
      </c>
      <c r="O139" s="58">
        <f t="shared" si="90"/>
        <v>5593.6194722265882</v>
      </c>
      <c r="P139" s="58">
        <f t="shared" si="90"/>
        <v>5250.6675288208307</v>
      </c>
      <c r="Q139" s="58">
        <f t="shared" si="90"/>
        <v>4946.1686471008488</v>
      </c>
      <c r="R139" s="58">
        <f t="shared" si="90"/>
        <v>4674.1102158566055</v>
      </c>
      <c r="S139" s="58">
        <f t="shared" si="90"/>
        <v>4429.4114650613983</v>
      </c>
    </row>
    <row r="140" spans="2:19" x14ac:dyDescent="0.3">
      <c r="B140" t="s">
        <v>243</v>
      </c>
      <c r="F140" s="28">
        <f>F142-F139-F141</f>
        <v>1932</v>
      </c>
      <c r="G140" s="28">
        <f t="shared" ref="G140:I140" si="91">G142-G139-G141</f>
        <v>2298</v>
      </c>
      <c r="H140" s="28">
        <f t="shared" si="91"/>
        <v>1957</v>
      </c>
      <c r="I140" s="28">
        <f t="shared" si="91"/>
        <v>993</v>
      </c>
      <c r="J140" s="59">
        <f t="shared" ref="J140:S140" si="92">(J29-I29)/J24</f>
        <v>446.94595154609522</v>
      </c>
      <c r="K140" s="59">
        <f t="shared" si="92"/>
        <v>444.15097714148118</v>
      </c>
      <c r="L140" s="59">
        <f t="shared" si="92"/>
        <v>440.00796082533094</v>
      </c>
      <c r="M140" s="59">
        <f t="shared" si="92"/>
        <v>434.63214269330524</v>
      </c>
      <c r="N140" s="59">
        <f t="shared" si="92"/>
        <v>428.14161246437209</v>
      </c>
      <c r="O140" s="59">
        <f t="shared" si="92"/>
        <v>420.65517577412652</v>
      </c>
      <c r="P140" s="59">
        <f t="shared" si="92"/>
        <v>412.29051115200775</v>
      </c>
      <c r="Q140" s="59">
        <f t="shared" si="92"/>
        <v>403.16261486798032</v>
      </c>
      <c r="R140" s="59">
        <f t="shared" si="92"/>
        <v>393.38252276679049</v>
      </c>
      <c r="S140" s="59">
        <f t="shared" si="92"/>
        <v>383.05629222437022</v>
      </c>
    </row>
    <row r="141" spans="2:19" x14ac:dyDescent="0.3">
      <c r="B141" t="s">
        <v>244</v>
      </c>
      <c r="E141" s="41">
        <f>-E101</f>
        <v>-1106</v>
      </c>
      <c r="F141" s="41">
        <f>-F101</f>
        <v>-1152</v>
      </c>
      <c r="G141" s="41">
        <f t="shared" ref="G141:I141" si="93">-G101</f>
        <v>-1216</v>
      </c>
      <c r="H141" s="41">
        <f t="shared" si="93"/>
        <v>-1363</v>
      </c>
      <c r="I141" s="41">
        <f t="shared" si="93"/>
        <v>-1436</v>
      </c>
      <c r="J141" s="59">
        <f t="shared" ref="J141:S141" si="94">-J139*J16</f>
        <v>-1116.9571831175722</v>
      </c>
      <c r="K141" s="59">
        <f t="shared" si="94"/>
        <v>-1025.4912997304771</v>
      </c>
      <c r="L141" s="59">
        <f t="shared" si="94"/>
        <v>-946.13023285787062</v>
      </c>
      <c r="M141" s="59">
        <f t="shared" si="94"/>
        <v>-877.03747958452288</v>
      </c>
      <c r="N141" s="59">
        <f t="shared" si="94"/>
        <v>-816.64297715355315</v>
      </c>
      <c r="O141" s="59">
        <f t="shared" si="94"/>
        <v>-763.60711917988408</v>
      </c>
      <c r="P141" s="59">
        <f t="shared" si="94"/>
        <v>-716.78939287198966</v>
      </c>
      <c r="Q141" s="59">
        <f t="shared" si="94"/>
        <v>-675.22104611222403</v>
      </c>
      <c r="R141" s="59">
        <f t="shared" si="94"/>
        <v>-638.08127356199725</v>
      </c>
      <c r="S141" s="59">
        <f t="shared" si="94"/>
        <v>-604.67647920846468</v>
      </c>
    </row>
    <row r="142" spans="2:19" x14ac:dyDescent="0.3">
      <c r="B142" s="7" t="s">
        <v>245</v>
      </c>
      <c r="C142" s="8"/>
      <c r="D142" s="8"/>
      <c r="E142" s="42">
        <f>E67</f>
        <v>6169</v>
      </c>
      <c r="F142" s="42">
        <f>F67</f>
        <v>6949</v>
      </c>
      <c r="G142" s="42">
        <f>G67</f>
        <v>8031</v>
      </c>
      <c r="H142" s="42">
        <f>H67</f>
        <v>8625</v>
      </c>
      <c r="I142" s="42">
        <f>I67</f>
        <v>8182</v>
      </c>
      <c r="J142" s="57">
        <f>SUM(J139:J141)</f>
        <v>7511.9887684285222</v>
      </c>
      <c r="K142" s="57">
        <f t="shared" ref="K142:S142" si="95">SUM(K139:K141)</f>
        <v>6930.6484458395262</v>
      </c>
      <c r="L142" s="57">
        <f t="shared" si="95"/>
        <v>6424.5261738069867</v>
      </c>
      <c r="M142" s="57">
        <f t="shared" si="95"/>
        <v>5982.1208369157694</v>
      </c>
      <c r="N142" s="57">
        <f t="shared" si="95"/>
        <v>5593.6194722265882</v>
      </c>
      <c r="O142" s="57">
        <f t="shared" si="95"/>
        <v>5250.6675288208307</v>
      </c>
      <c r="P142" s="57">
        <f t="shared" si="95"/>
        <v>4946.1686471008488</v>
      </c>
      <c r="Q142" s="57">
        <f t="shared" si="95"/>
        <v>4674.1102158566055</v>
      </c>
      <c r="R142" s="57">
        <f t="shared" si="95"/>
        <v>4429.4114650613983</v>
      </c>
      <c r="S142" s="57">
        <f t="shared" si="95"/>
        <v>4207.7912780773031</v>
      </c>
    </row>
    <row r="144" spans="2:19" x14ac:dyDescent="0.3">
      <c r="B144" s="4" t="s">
        <v>246</v>
      </c>
    </row>
    <row r="145" spans="2:19" x14ac:dyDescent="0.3">
      <c r="B145" t="s">
        <v>247</v>
      </c>
      <c r="F145" s="40">
        <f>E147</f>
        <v>1043</v>
      </c>
      <c r="G145" s="40">
        <f t="shared" ref="G145:S145" si="96">F147</f>
        <v>1219</v>
      </c>
      <c r="H145" s="40">
        <f t="shared" si="96"/>
        <v>1484</v>
      </c>
      <c r="I145" s="40">
        <f t="shared" si="96"/>
        <v>1648</v>
      </c>
      <c r="J145" s="58">
        <f t="shared" si="96"/>
        <v>1478</v>
      </c>
      <c r="K145" s="58">
        <f t="shared" si="96"/>
        <v>1478</v>
      </c>
      <c r="L145" s="58">
        <f t="shared" si="96"/>
        <v>1478</v>
      </c>
      <c r="M145" s="58">
        <f t="shared" si="96"/>
        <v>1478</v>
      </c>
      <c r="N145" s="58">
        <f t="shared" si="96"/>
        <v>1478</v>
      </c>
      <c r="O145" s="58">
        <f t="shared" si="96"/>
        <v>1478</v>
      </c>
      <c r="P145" s="58">
        <f t="shared" si="96"/>
        <v>1478</v>
      </c>
      <c r="Q145" s="58">
        <f t="shared" si="96"/>
        <v>1478</v>
      </c>
      <c r="R145" s="58">
        <f t="shared" si="96"/>
        <v>1478</v>
      </c>
      <c r="S145" s="58">
        <f t="shared" si="96"/>
        <v>1478</v>
      </c>
    </row>
    <row r="146" spans="2:19" x14ac:dyDescent="0.3">
      <c r="B146" t="s">
        <v>248</v>
      </c>
      <c r="F146" s="28">
        <f>F147-F145</f>
        <v>176</v>
      </c>
      <c r="G146" s="28">
        <f t="shared" ref="G146:I146" si="97">G147-G145</f>
        <v>265</v>
      </c>
      <c r="H146" s="28">
        <f t="shared" si="97"/>
        <v>164</v>
      </c>
      <c r="I146" s="28">
        <f t="shared" si="97"/>
        <v>-170</v>
      </c>
      <c r="J146" s="56">
        <v>0</v>
      </c>
      <c r="K146" s="56">
        <v>0</v>
      </c>
      <c r="L146" s="56">
        <v>0</v>
      </c>
      <c r="M146" s="56">
        <v>0</v>
      </c>
      <c r="N146" s="56">
        <v>0</v>
      </c>
      <c r="O146" s="56">
        <v>0</v>
      </c>
      <c r="P146" s="56">
        <v>0</v>
      </c>
      <c r="Q146" s="56">
        <v>0</v>
      </c>
      <c r="R146" s="56">
        <v>0</v>
      </c>
      <c r="S146" s="56">
        <v>0</v>
      </c>
    </row>
    <row r="147" spans="2:19" x14ac:dyDescent="0.3">
      <c r="B147" s="7" t="s">
        <v>249</v>
      </c>
      <c r="C147" s="8"/>
      <c r="D147" s="8"/>
      <c r="E147" s="42">
        <f>E82</f>
        <v>1043</v>
      </c>
      <c r="F147" s="42">
        <f>F82</f>
        <v>1219</v>
      </c>
      <c r="G147" s="42">
        <f>G82</f>
        <v>1484</v>
      </c>
      <c r="H147" s="42">
        <f>H82</f>
        <v>1648</v>
      </c>
      <c r="I147" s="42">
        <f>I82</f>
        <v>1478</v>
      </c>
      <c r="J147" s="57">
        <f>SUM(J145:J146)</f>
        <v>1478</v>
      </c>
      <c r="K147" s="57">
        <f t="shared" ref="K147:S147" si="98">SUM(K145:K146)</f>
        <v>1478</v>
      </c>
      <c r="L147" s="57">
        <f t="shared" si="98"/>
        <v>1478</v>
      </c>
      <c r="M147" s="57">
        <f t="shared" si="98"/>
        <v>1478</v>
      </c>
      <c r="N147" s="57">
        <f t="shared" si="98"/>
        <v>1478</v>
      </c>
      <c r="O147" s="57">
        <f t="shared" si="98"/>
        <v>1478</v>
      </c>
      <c r="P147" s="57">
        <f t="shared" si="98"/>
        <v>1478</v>
      </c>
      <c r="Q147" s="57">
        <f t="shared" si="98"/>
        <v>1478</v>
      </c>
      <c r="R147" s="57">
        <f t="shared" si="98"/>
        <v>1478</v>
      </c>
      <c r="S147" s="57">
        <f t="shared" si="98"/>
        <v>1478</v>
      </c>
    </row>
    <row r="148" spans="2:19" x14ac:dyDescent="0.3">
      <c r="B148" t="s">
        <v>250</v>
      </c>
      <c r="E148" s="40">
        <f>E42</f>
        <v>-106</v>
      </c>
      <c r="F148" s="40">
        <f>F42</f>
        <v>-114</v>
      </c>
      <c r="G148" s="40">
        <f>G42</f>
        <v>-334</v>
      </c>
      <c r="H148" s="40">
        <f>H42</f>
        <v>-395</v>
      </c>
      <c r="I148" s="40">
        <f>I42</f>
        <v>-410</v>
      </c>
      <c r="J148" s="58">
        <f t="shared" ref="J148:S148" si="99">-J145*J17</f>
        <v>-265.52390850607469</v>
      </c>
      <c r="K148" s="58">
        <f t="shared" si="99"/>
        <v>-265.52390850607469</v>
      </c>
      <c r="L148" s="58">
        <f t="shared" si="99"/>
        <v>-265.52390850607469</v>
      </c>
      <c r="M148" s="58">
        <f t="shared" si="99"/>
        <v>-265.52390850607469</v>
      </c>
      <c r="N148" s="58">
        <f t="shared" si="99"/>
        <v>-265.52390850607469</v>
      </c>
      <c r="O148" s="58">
        <f t="shared" si="99"/>
        <v>-265.52390850607469</v>
      </c>
      <c r="P148" s="58">
        <f t="shared" si="99"/>
        <v>-265.52390850607469</v>
      </c>
      <c r="Q148" s="58">
        <f t="shared" si="99"/>
        <v>-265.52390850607469</v>
      </c>
      <c r="R148" s="58">
        <f t="shared" si="99"/>
        <v>-265.52390850607469</v>
      </c>
      <c r="S148" s="58">
        <f t="shared" si="99"/>
        <v>-265.52390850607469</v>
      </c>
    </row>
    <row r="150" spans="2:19" ht="18" x14ac:dyDescent="0.35">
      <c r="B150" s="19" t="s">
        <v>361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2" spans="2:19" x14ac:dyDescent="0.3">
      <c r="B152" t="s">
        <v>362</v>
      </c>
      <c r="C152" s="101">
        <v>46285</v>
      </c>
    </row>
    <row r="153" spans="2:19" x14ac:dyDescent="0.3">
      <c r="B153" t="s">
        <v>280</v>
      </c>
      <c r="C153" s="83">
        <f>WACC!D36</f>
        <v>0.24825236442253623</v>
      </c>
    </row>
    <row r="154" spans="2:19" x14ac:dyDescent="0.3">
      <c r="B154" s="30" t="s">
        <v>363</v>
      </c>
      <c r="C154" s="102">
        <f>'Comparables Analysis'!P15</f>
        <v>18.689007830632743</v>
      </c>
    </row>
    <row r="155" spans="2:19" x14ac:dyDescent="0.3">
      <c r="B155" t="s">
        <v>364</v>
      </c>
      <c r="C155" s="48">
        <v>6.5000000000000002E-2</v>
      </c>
    </row>
    <row r="156" spans="2:19" x14ac:dyDescent="0.3">
      <c r="B156" t="s">
        <v>365</v>
      </c>
      <c r="C156" s="103">
        <f>WACC!D47</f>
        <v>7.257127367961648E-2</v>
      </c>
    </row>
    <row r="157" spans="2:19" x14ac:dyDescent="0.3">
      <c r="B157" t="s">
        <v>366</v>
      </c>
      <c r="C157" s="104">
        <f>'Comparables Analysis'!E9</f>
        <v>234.95912525879919</v>
      </c>
    </row>
    <row r="158" spans="2:19" x14ac:dyDescent="0.3">
      <c r="B158" t="s">
        <v>367</v>
      </c>
      <c r="C158" s="105">
        <f>'Comparables Analysis'!D9</f>
        <v>1932</v>
      </c>
    </row>
    <row r="160" spans="2:19" x14ac:dyDescent="0.3">
      <c r="B160" s="4" t="s">
        <v>368</v>
      </c>
      <c r="D160" s="106"/>
      <c r="E160" s="107">
        <f t="shared" ref="E160:N160" si="100">J4</f>
        <v>2027</v>
      </c>
      <c r="F160" s="107">
        <f t="shared" si="100"/>
        <v>2028</v>
      </c>
      <c r="G160" s="107">
        <f t="shared" si="100"/>
        <v>2029</v>
      </c>
      <c r="H160" s="107">
        <f t="shared" si="100"/>
        <v>2030</v>
      </c>
      <c r="I160" s="107">
        <f t="shared" si="100"/>
        <v>2031</v>
      </c>
      <c r="J160" s="107">
        <f t="shared" si="100"/>
        <v>2032</v>
      </c>
      <c r="K160" s="107">
        <f t="shared" si="100"/>
        <v>2033</v>
      </c>
      <c r="L160" s="107">
        <f t="shared" si="100"/>
        <v>2034</v>
      </c>
      <c r="M160" s="107">
        <f t="shared" si="100"/>
        <v>2035</v>
      </c>
      <c r="N160" s="107">
        <f t="shared" si="100"/>
        <v>2036</v>
      </c>
    </row>
    <row r="161" spans="2:18" x14ac:dyDescent="0.3">
      <c r="B161" t="s">
        <v>328</v>
      </c>
      <c r="D161" s="108"/>
      <c r="E161" s="109">
        <f>D161+1</f>
        <v>1</v>
      </c>
      <c r="F161" s="109">
        <f t="shared" ref="F161:N161" si="101">E161+1</f>
        <v>2</v>
      </c>
      <c r="G161" s="109">
        <f t="shared" si="101"/>
        <v>3</v>
      </c>
      <c r="H161" s="109">
        <f t="shared" si="101"/>
        <v>4</v>
      </c>
      <c r="I161" s="109">
        <f t="shared" si="101"/>
        <v>5</v>
      </c>
      <c r="J161" s="109">
        <f t="shared" si="101"/>
        <v>6</v>
      </c>
      <c r="K161" s="109">
        <f t="shared" si="101"/>
        <v>7</v>
      </c>
      <c r="L161" s="109">
        <f t="shared" si="101"/>
        <v>8</v>
      </c>
      <c r="M161" s="109">
        <f t="shared" si="101"/>
        <v>9</v>
      </c>
      <c r="N161" s="109">
        <f t="shared" si="101"/>
        <v>10</v>
      </c>
    </row>
    <row r="163" spans="2:18" x14ac:dyDescent="0.3">
      <c r="B163" t="s">
        <v>369</v>
      </c>
      <c r="E163" s="29">
        <f t="shared" ref="E163:N163" si="102">J41</f>
        <v>14986.20839427369</v>
      </c>
      <c r="F163" s="29">
        <f t="shared" si="102"/>
        <v>15902.440502316482</v>
      </c>
      <c r="G163" s="29">
        <f t="shared" si="102"/>
        <v>16796.789849370038</v>
      </c>
      <c r="H163" s="29">
        <f t="shared" si="102"/>
        <v>17668.854623488078</v>
      </c>
      <c r="I163" s="29">
        <f t="shared" si="102"/>
        <v>18518.20170237634</v>
      </c>
      <c r="J163" s="29">
        <f t="shared" si="102"/>
        <v>19344.401715199256</v>
      </c>
      <c r="K163" s="29">
        <f t="shared" si="102"/>
        <v>20147.056087675726</v>
      </c>
      <c r="L163" s="29">
        <f t="shared" si="102"/>
        <v>20925.817240378594</v>
      </c>
      <c r="M163" s="29">
        <f t="shared" si="102"/>
        <v>21680.403000444217</v>
      </c>
      <c r="N163" s="29">
        <f t="shared" si="102"/>
        <v>22410.606178782655</v>
      </c>
      <c r="P163" s="45" t="s">
        <v>376</v>
      </c>
      <c r="Q163" s="111"/>
      <c r="R163" s="111"/>
    </row>
    <row r="164" spans="2:18" x14ac:dyDescent="0.3">
      <c r="B164" t="s">
        <v>370</v>
      </c>
      <c r="E164" s="29">
        <f>-E163*$C$153</f>
        <v>-3720.3616676073034</v>
      </c>
      <c r="F164" s="29">
        <f t="shared" ref="F164:N164" si="103">-F163*$C$153</f>
        <v>-3947.8184547887713</v>
      </c>
      <c r="G164" s="29">
        <f t="shared" si="103"/>
        <v>-4169.8427948145682</v>
      </c>
      <c r="H164" s="29">
        <f t="shared" si="103"/>
        <v>-4386.3349369189764</v>
      </c>
      <c r="I164" s="29">
        <f t="shared" si="103"/>
        <v>-4597.1873574683623</v>
      </c>
      <c r="J164" s="29">
        <f t="shared" si="103"/>
        <v>-4802.2934641375805</v>
      </c>
      <c r="K164" s="29">
        <f t="shared" si="103"/>
        <v>-5001.5543099189517</v>
      </c>
      <c r="L164" s="29">
        <f t="shared" si="103"/>
        <v>-5194.8836073978582</v>
      </c>
      <c r="M164" s="29">
        <f t="shared" si="103"/>
        <v>-5382.2113064937257</v>
      </c>
      <c r="N164" s="29">
        <f t="shared" si="103"/>
        <v>-5563.4859720250934</v>
      </c>
      <c r="Q164" s="30"/>
      <c r="R164" s="30"/>
    </row>
    <row r="165" spans="2:18" x14ac:dyDescent="0.3">
      <c r="P165" s="30"/>
      <c r="Q165" s="30"/>
      <c r="R165" s="30"/>
    </row>
    <row r="166" spans="2:18" x14ac:dyDescent="0.3">
      <c r="B166" s="7" t="s">
        <v>371</v>
      </c>
      <c r="C166" s="7"/>
      <c r="D166" s="7"/>
      <c r="E166" s="110">
        <f>SUM(E163:E164)</f>
        <v>11265.846726666387</v>
      </c>
      <c r="F166" s="110">
        <f t="shared" ref="F166:N166" si="104">SUM(F163:F164)</f>
        <v>11954.622047527711</v>
      </c>
      <c r="G166" s="110">
        <f t="shared" si="104"/>
        <v>12626.947054555469</v>
      </c>
      <c r="H166" s="110">
        <f t="shared" si="104"/>
        <v>13282.519686569101</v>
      </c>
      <c r="I166" s="110">
        <f t="shared" si="104"/>
        <v>13921.014344907977</v>
      </c>
      <c r="J166" s="110">
        <f t="shared" si="104"/>
        <v>14542.108251061676</v>
      </c>
      <c r="K166" s="110">
        <f t="shared" si="104"/>
        <v>15145.501777756774</v>
      </c>
      <c r="L166" s="110">
        <f t="shared" si="104"/>
        <v>15730.933632980736</v>
      </c>
      <c r="M166" s="110">
        <f t="shared" si="104"/>
        <v>16298.191693950492</v>
      </c>
      <c r="N166" s="110">
        <f t="shared" si="104"/>
        <v>16847.120206757561</v>
      </c>
      <c r="P166" s="30" t="s">
        <v>294</v>
      </c>
      <c r="Q166" s="30"/>
      <c r="R166" s="30">
        <f>(N163+N167)*C154</f>
        <v>430132.79781942203</v>
      </c>
    </row>
    <row r="167" spans="2:18" x14ac:dyDescent="0.3">
      <c r="B167" t="s">
        <v>372</v>
      </c>
      <c r="E167" s="29">
        <f>J101</f>
        <v>1116.9571831175722</v>
      </c>
      <c r="F167" s="29">
        <f t="shared" ref="F167:N167" si="105">K101</f>
        <v>1025.4912997304771</v>
      </c>
      <c r="G167" s="29">
        <f t="shared" si="105"/>
        <v>946.13023285787062</v>
      </c>
      <c r="H167" s="29">
        <f t="shared" si="105"/>
        <v>877.03747958452288</v>
      </c>
      <c r="I167" s="29">
        <f t="shared" si="105"/>
        <v>816.64297715355315</v>
      </c>
      <c r="J167" s="29">
        <f t="shared" si="105"/>
        <v>763.60711917988408</v>
      </c>
      <c r="K167" s="29">
        <f t="shared" si="105"/>
        <v>716.78939287198966</v>
      </c>
      <c r="L167" s="29">
        <f t="shared" si="105"/>
        <v>675.22104611222403</v>
      </c>
      <c r="M167" s="29">
        <f t="shared" si="105"/>
        <v>638.08127356199725</v>
      </c>
      <c r="N167" s="29">
        <f t="shared" si="105"/>
        <v>604.67647920846468</v>
      </c>
      <c r="P167" s="30" t="s">
        <v>380</v>
      </c>
      <c r="Q167" s="30"/>
      <c r="R167" s="30">
        <f>N171*(1+C155)/(C156-C155)</f>
        <v>2423754.5171226114</v>
      </c>
    </row>
    <row r="168" spans="2:18" x14ac:dyDescent="0.3">
      <c r="B168" t="s">
        <v>373</v>
      </c>
      <c r="E168" s="29">
        <f>-J140</f>
        <v>-446.94595154609522</v>
      </c>
      <c r="F168" s="29">
        <f t="shared" ref="F168:N168" si="106">-K140</f>
        <v>-444.15097714148118</v>
      </c>
      <c r="G168" s="29">
        <f t="shared" si="106"/>
        <v>-440.00796082533094</v>
      </c>
      <c r="H168" s="29">
        <f t="shared" si="106"/>
        <v>-434.63214269330524</v>
      </c>
      <c r="I168" s="29">
        <f t="shared" si="106"/>
        <v>-428.14161246437209</v>
      </c>
      <c r="J168" s="29">
        <f t="shared" si="106"/>
        <v>-420.65517577412652</v>
      </c>
      <c r="K168" s="29">
        <f t="shared" si="106"/>
        <v>-412.29051115200775</v>
      </c>
      <c r="L168" s="29">
        <f t="shared" si="106"/>
        <v>-403.16261486798032</v>
      </c>
      <c r="M168" s="29">
        <f t="shared" si="106"/>
        <v>-393.38252276679049</v>
      </c>
      <c r="N168" s="29">
        <f t="shared" si="106"/>
        <v>-383.05629222437022</v>
      </c>
      <c r="P168" s="30" t="s">
        <v>381</v>
      </c>
      <c r="Q168" s="30"/>
      <c r="R168" s="30">
        <f>AVERAGE(R166:R167)</f>
        <v>1426943.6574710167</v>
      </c>
    </row>
    <row r="169" spans="2:18" x14ac:dyDescent="0.3">
      <c r="B169" t="s">
        <v>374</v>
      </c>
      <c r="E169" s="29">
        <f>J136</f>
        <v>-1409.4493403726665</v>
      </c>
      <c r="F169" s="29">
        <f t="shared" ref="F169:N169" si="107">K136</f>
        <v>191.94072087207132</v>
      </c>
      <c r="G169" s="29">
        <f t="shared" si="107"/>
        <v>189.66518429573398</v>
      </c>
      <c r="H169" s="29">
        <f t="shared" si="107"/>
        <v>186.86874403152751</v>
      </c>
      <c r="I169" s="29">
        <f t="shared" si="107"/>
        <v>183.60611980965405</v>
      </c>
      <c r="J169" s="29">
        <f t="shared" si="107"/>
        <v>179.93181679592089</v>
      </c>
      <c r="K169" s="29">
        <f t="shared" si="107"/>
        <v>175.89933533915882</v>
      </c>
      <c r="L169" s="29">
        <f t="shared" si="107"/>
        <v>171.56051540967746</v>
      </c>
      <c r="M169" s="29">
        <f t="shared" si="107"/>
        <v>166.96500888838727</v>
      </c>
      <c r="N169" s="29">
        <f t="shared" si="107"/>
        <v>162.15987042921006</v>
      </c>
    </row>
    <row r="171" spans="2:18" x14ac:dyDescent="0.3">
      <c r="B171" s="7" t="s">
        <v>375</v>
      </c>
      <c r="C171" s="8"/>
      <c r="D171" s="7"/>
      <c r="E171" s="110">
        <f>SUM(E166:E169)</f>
        <v>10526.408617865198</v>
      </c>
      <c r="F171" s="110">
        <f t="shared" ref="F171:N171" si="108">SUM(F166:F169)</f>
        <v>12727.903090988779</v>
      </c>
      <c r="G171" s="110">
        <f t="shared" si="108"/>
        <v>13322.734510883743</v>
      </c>
      <c r="H171" s="110">
        <f t="shared" si="108"/>
        <v>13911.793767491848</v>
      </c>
      <c r="I171" s="110">
        <f t="shared" si="108"/>
        <v>14493.121829406811</v>
      </c>
      <c r="J171" s="110">
        <f t="shared" si="108"/>
        <v>15064.992011263354</v>
      </c>
      <c r="K171" s="110">
        <f t="shared" si="108"/>
        <v>15625.899994815914</v>
      </c>
      <c r="L171" s="110">
        <f t="shared" si="108"/>
        <v>16174.552579634657</v>
      </c>
      <c r="M171" s="110">
        <f t="shared" si="108"/>
        <v>16709.855453634085</v>
      </c>
      <c r="N171" s="110">
        <f t="shared" si="108"/>
        <v>17230.900264170865</v>
      </c>
    </row>
    <row r="172" spans="2:18" x14ac:dyDescent="0.3">
      <c r="B172" s="56" t="s">
        <v>376</v>
      </c>
      <c r="C172" s="56"/>
      <c r="D172" s="56"/>
      <c r="N172" s="112">
        <f>R168</f>
        <v>1426943.6574710167</v>
      </c>
    </row>
    <row r="174" spans="2:18" x14ac:dyDescent="0.3">
      <c r="B174" s="11" t="s">
        <v>377</v>
      </c>
      <c r="C174" s="11"/>
      <c r="D174" s="11"/>
      <c r="E174" s="113">
        <f>1/(1+$C$156)^E161</f>
        <v>0.93233897321280124</v>
      </c>
      <c r="F174" s="113">
        <f>1/(1+$C$156)^F161</f>
        <v>0.86925596097150037</v>
      </c>
      <c r="G174" s="113">
        <f t="shared" ref="G174:N174" si="109">1/(1+$C$156)^G161</f>
        <v>0.81044121011127546</v>
      </c>
      <c r="H174" s="113">
        <f t="shared" si="109"/>
        <v>0.7556059256844867</v>
      </c>
      <c r="I174" s="113">
        <f t="shared" si="109"/>
        <v>0.70448085290618245</v>
      </c>
      <c r="J174" s="113">
        <f t="shared" si="109"/>
        <v>0.65681495504662857</v>
      </c>
      <c r="K174" s="113">
        <f t="shared" si="109"/>
        <v>0.61237418077898587</v>
      </c>
      <c r="L174" s="113">
        <f t="shared" si="109"/>
        <v>0.57094031492950992</v>
      </c>
      <c r="M174" s="113">
        <f t="shared" si="109"/>
        <v>0.53230990698717262</v>
      </c>
      <c r="N174" s="113">
        <f t="shared" si="109"/>
        <v>0.49629327211142227</v>
      </c>
    </row>
    <row r="176" spans="2:18" x14ac:dyDescent="0.3">
      <c r="B176" s="4" t="s">
        <v>378</v>
      </c>
      <c r="C176" s="4"/>
      <c r="D176" s="4"/>
      <c r="E176" s="106">
        <f>E174*E171</f>
        <v>9814.1810023988201</v>
      </c>
      <c r="F176" s="106">
        <f t="shared" ref="F176:N176" si="110">F174*F171</f>
        <v>11063.80563250958</v>
      </c>
      <c r="G176" s="106">
        <f t="shared" si="110"/>
        <v>10797.293078991872</v>
      </c>
      <c r="H176" s="106">
        <f t="shared" si="110"/>
        <v>10511.833807617351</v>
      </c>
      <c r="I176" s="106">
        <f t="shared" si="110"/>
        <v>10210.126827653721</v>
      </c>
      <c r="J176" s="106">
        <f t="shared" si="110"/>
        <v>9894.9120506557574</v>
      </c>
      <c r="K176" s="106">
        <f t="shared" si="110"/>
        <v>9568.8977082597557</v>
      </c>
      <c r="L176" s="106">
        <f t="shared" si="110"/>
        <v>9234.7041436605286</v>
      </c>
      <c r="M176" s="106">
        <f t="shared" si="110"/>
        <v>8894.8216022930592</v>
      </c>
      <c r="N176" s="106">
        <f t="shared" si="110"/>
        <v>8551.579873530929</v>
      </c>
    </row>
    <row r="177" spans="2:14" x14ac:dyDescent="0.3">
      <c r="B177" s="56" t="s">
        <v>379</v>
      </c>
      <c r="C177" s="56"/>
      <c r="D177" s="56"/>
      <c r="N177" s="112">
        <f>N174*N172</f>
        <v>708182.5368849315</v>
      </c>
    </row>
    <row r="179" spans="2:14" x14ac:dyDescent="0.3">
      <c r="B179" s="45" t="s">
        <v>382</v>
      </c>
      <c r="C179" s="46"/>
      <c r="E179" s="116" t="s">
        <v>388</v>
      </c>
      <c r="F179" s="111"/>
      <c r="G179" s="111"/>
      <c r="H179" s="111"/>
      <c r="J179" s="45" t="s">
        <v>391</v>
      </c>
      <c r="K179" s="111"/>
      <c r="L179" s="111"/>
      <c r="M179" s="111"/>
    </row>
    <row r="180" spans="2:14" x14ac:dyDescent="0.3">
      <c r="E180" s="30"/>
      <c r="F180" s="30"/>
      <c r="G180" s="30"/>
      <c r="H180" s="30"/>
      <c r="J180" s="30"/>
      <c r="K180" s="30"/>
      <c r="L180" s="30"/>
      <c r="M180" s="30"/>
    </row>
    <row r="181" spans="2:14" x14ac:dyDescent="0.3">
      <c r="B181" t="s">
        <v>383</v>
      </c>
      <c r="C181" s="41">
        <f>E176+F176+G176+H176+I176+N177+J176+K176+L176+M176+N176</f>
        <v>806724.69261250284</v>
      </c>
      <c r="E181" s="30" t="s">
        <v>288</v>
      </c>
      <c r="F181" s="30"/>
      <c r="G181" s="30"/>
      <c r="H181" s="30">
        <f>'Comparables Analysis'!F9</f>
        <v>453941.03</v>
      </c>
      <c r="J181" s="30" t="s">
        <v>392</v>
      </c>
      <c r="K181" s="30"/>
      <c r="L181" s="30"/>
      <c r="M181" s="30">
        <f>H188</f>
        <v>1932</v>
      </c>
    </row>
    <row r="182" spans="2:14" x14ac:dyDescent="0.3">
      <c r="B182" t="s">
        <v>384</v>
      </c>
      <c r="C182" s="41">
        <f>-I91</f>
        <v>-269</v>
      </c>
      <c r="E182" t="s">
        <v>384</v>
      </c>
      <c r="H182" s="41">
        <f>C182</f>
        <v>-269</v>
      </c>
      <c r="J182" s="30"/>
      <c r="K182" s="30"/>
      <c r="L182" s="30"/>
      <c r="M182" s="30"/>
    </row>
    <row r="183" spans="2:14" x14ac:dyDescent="0.3">
      <c r="B183" t="s">
        <v>385</v>
      </c>
      <c r="C183" s="41">
        <f>I60+I61+I71</f>
        <v>9611</v>
      </c>
      <c r="E183" s="30" t="s">
        <v>389</v>
      </c>
      <c r="F183" s="30"/>
      <c r="G183" s="30"/>
      <c r="H183" s="30">
        <f>-C184</f>
        <v>1648</v>
      </c>
      <c r="J183" s="30" t="s">
        <v>393</v>
      </c>
      <c r="K183" s="30"/>
      <c r="L183" s="30"/>
      <c r="M183" s="30">
        <f>C188</f>
        <v>3466.2143541581941</v>
      </c>
    </row>
    <row r="184" spans="2:14" x14ac:dyDescent="0.3">
      <c r="B184" t="s">
        <v>386</v>
      </c>
      <c r="C184" s="41">
        <f>-I145</f>
        <v>-1648</v>
      </c>
      <c r="E184" s="30" t="s">
        <v>390</v>
      </c>
      <c r="F184" s="30"/>
      <c r="G184" s="30"/>
      <c r="H184" s="30">
        <f>-C183</f>
        <v>-9611</v>
      </c>
      <c r="J184" s="30"/>
      <c r="K184" s="30"/>
      <c r="L184" s="30"/>
      <c r="M184" s="30"/>
    </row>
    <row r="185" spans="2:14" x14ac:dyDescent="0.3">
      <c r="E185" s="30"/>
      <c r="F185" s="30"/>
      <c r="G185" s="30"/>
      <c r="H185" s="30"/>
      <c r="J185" s="30" t="s">
        <v>394</v>
      </c>
      <c r="K185" s="30"/>
      <c r="L185" s="30"/>
      <c r="M185" s="118">
        <f>M183/M181-1</f>
        <v>0.79410680857049387</v>
      </c>
    </row>
    <row r="186" spans="2:14" x14ac:dyDescent="0.3">
      <c r="B186" t="s">
        <v>300</v>
      </c>
      <c r="C186" s="114">
        <f>SUM(C181:C184)</f>
        <v>814418.69261250284</v>
      </c>
      <c r="E186" s="30" t="s">
        <v>383</v>
      </c>
      <c r="F186" s="30"/>
      <c r="G186" s="30"/>
      <c r="H186" s="117">
        <f>SUM(H181:H184)</f>
        <v>445709.03</v>
      </c>
    </row>
    <row r="187" spans="2:14" x14ac:dyDescent="0.3">
      <c r="C187" s="114"/>
      <c r="E187" s="30"/>
      <c r="F187" s="30"/>
      <c r="G187" s="30"/>
      <c r="H187" s="30"/>
    </row>
    <row r="188" spans="2:14" x14ac:dyDescent="0.3">
      <c r="B188" s="4" t="s">
        <v>387</v>
      </c>
      <c r="C188" s="115">
        <f>C186/C157</f>
        <v>3466.2143541581941</v>
      </c>
      <c r="E188" s="4" t="s">
        <v>387</v>
      </c>
      <c r="F188" s="106"/>
      <c r="G188" s="106"/>
      <c r="H188" s="115">
        <f>H181/C157</f>
        <v>1932</v>
      </c>
    </row>
    <row r="190" spans="2:14" ht="18" x14ac:dyDescent="0.35">
      <c r="B190" s="19" t="s">
        <v>395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2" spans="2:14" x14ac:dyDescent="0.3">
      <c r="D192" s="160" t="s">
        <v>396</v>
      </c>
      <c r="E192" s="160"/>
      <c r="F192" s="160"/>
      <c r="G192" s="160"/>
      <c r="H192" s="160"/>
      <c r="I192" s="160"/>
      <c r="J192" s="160"/>
    </row>
    <row r="195" spans="4:10" x14ac:dyDescent="0.3">
      <c r="F195" s="162" t="s">
        <v>397</v>
      </c>
      <c r="G195" s="162"/>
      <c r="H195" s="162"/>
      <c r="I195" s="162"/>
      <c r="J195" s="162"/>
    </row>
    <row r="196" spans="4:10" x14ac:dyDescent="0.3">
      <c r="E196" s="119">
        <f>C188</f>
        <v>3466.2143541581941</v>
      </c>
      <c r="F196" s="120">
        <v>6</v>
      </c>
      <c r="G196" s="120">
        <v>12</v>
      </c>
      <c r="H196" s="120">
        <v>19.09</v>
      </c>
      <c r="I196" s="120">
        <v>24</v>
      </c>
      <c r="J196" s="120">
        <v>30</v>
      </c>
    </row>
    <row r="197" spans="4:10" x14ac:dyDescent="0.3">
      <c r="D197" s="159" t="s">
        <v>398</v>
      </c>
      <c r="E197" s="121">
        <v>0.03</v>
      </c>
      <c r="F197" s="30">
        <f t="dataTable" ref="F197:J201" dt2D="1" dtr="1" r1="C154" r2="C156" ca="1"/>
        <v>-55.36244544547661</v>
      </c>
      <c r="G197" s="30">
        <v>163.29939741646135</v>
      </c>
      <c r="H197" s="30">
        <v>421.68480839831807</v>
      </c>
      <c r="I197" s="30">
        <v>600.62308314033737</v>
      </c>
      <c r="J197" s="30">
        <v>819.28492600227526</v>
      </c>
    </row>
    <row r="198" spans="4:10" x14ac:dyDescent="0.3">
      <c r="D198" s="159"/>
      <c r="E198" s="121">
        <v>0.05</v>
      </c>
      <c r="F198" s="41">
        <v>-914.7265521774616</v>
      </c>
      <c r="G198" s="122">
        <v>-734.32001922627887</v>
      </c>
      <c r="H198" s="122">
        <v>-521.13963278896472</v>
      </c>
      <c r="I198" s="122">
        <v>-373.50695332391331</v>
      </c>
      <c r="J198" s="41">
        <v>-193.10042037273072</v>
      </c>
    </row>
    <row r="199" spans="4:10" x14ac:dyDescent="0.3">
      <c r="D199" s="159"/>
      <c r="E199" s="123">
        <v>7.2599999999999998E-2</v>
      </c>
      <c r="F199" s="41">
        <v>3147.3248829433683</v>
      </c>
      <c r="G199" s="122">
        <v>3293.1281732671828</v>
      </c>
      <c r="H199" s="124">
        <v>3465.4190613331566</v>
      </c>
      <c r="I199" s="122">
        <v>3584.7347539148113</v>
      </c>
      <c r="J199" s="41">
        <v>3730.5380442386258</v>
      </c>
    </row>
    <row r="200" spans="4:10" x14ac:dyDescent="0.3">
      <c r="D200" s="159"/>
      <c r="E200" s="121">
        <v>0.1</v>
      </c>
      <c r="F200" s="30">
        <v>943.92309937131586</v>
      </c>
      <c r="G200" s="122">
        <v>1057.2200965405718</v>
      </c>
      <c r="H200" s="122">
        <v>1191.0993815289094</v>
      </c>
      <c r="I200" s="122">
        <v>1283.814090879084</v>
      </c>
      <c r="J200" s="30">
        <v>1397.1110880483398</v>
      </c>
    </row>
    <row r="201" spans="4:10" x14ac:dyDescent="0.3">
      <c r="D201" s="159"/>
      <c r="E201" s="121">
        <v>0.13</v>
      </c>
      <c r="F201" s="30">
        <v>617.70012509712058</v>
      </c>
      <c r="G201" s="30">
        <v>704.26880923405929</v>
      </c>
      <c r="H201" s="30">
        <v>806.56413765587524</v>
      </c>
      <c r="I201" s="30">
        <v>877.40617750793672</v>
      </c>
      <c r="J201" s="30">
        <v>963.97486164487555</v>
      </c>
    </row>
    <row r="204" spans="4:10" x14ac:dyDescent="0.3">
      <c r="E204" s="30"/>
      <c r="F204" s="162" t="s">
        <v>364</v>
      </c>
      <c r="G204" s="162"/>
      <c r="H204" s="162"/>
      <c r="I204" s="162"/>
      <c r="J204" s="162"/>
    </row>
    <row r="205" spans="4:10" x14ac:dyDescent="0.3">
      <c r="E205" s="119">
        <f>C188</f>
        <v>3466.2143541581941</v>
      </c>
      <c r="F205" s="118">
        <v>0.02</v>
      </c>
      <c r="G205" s="118">
        <v>0.04</v>
      </c>
      <c r="H205" s="118">
        <v>6.5032000000000006E-2</v>
      </c>
      <c r="I205" s="118">
        <v>0.09</v>
      </c>
      <c r="J205" s="118">
        <v>0.11</v>
      </c>
    </row>
    <row r="206" spans="4:10" x14ac:dyDescent="0.3">
      <c r="D206" s="159" t="s">
        <v>398</v>
      </c>
      <c r="E206" s="121">
        <v>0.03</v>
      </c>
      <c r="F206" s="30">
        <f t="dataTable" ref="F206:J210" dt2D="1" dtr="1" r1="C155" r2="C156"/>
        <v>4020.297000509373</v>
      </c>
      <c r="G206" s="30">
        <v>-1600.2764763703915</v>
      </c>
      <c r="H206" s="30">
        <v>407.80463908482432</v>
      </c>
      <c r="I206" s="30">
        <v>741.62913899617649</v>
      </c>
      <c r="J206" s="30">
        <v>858.72441976450489</v>
      </c>
    </row>
    <row r="207" spans="4:10" x14ac:dyDescent="0.3">
      <c r="D207" s="159"/>
      <c r="E207" s="121">
        <v>0.05</v>
      </c>
      <c r="F207" s="30">
        <v>1830.4468818635921</v>
      </c>
      <c r="G207" s="122">
        <v>3406.209181300419</v>
      </c>
      <c r="H207" s="122">
        <v>-529.8420972555956</v>
      </c>
      <c r="I207" s="122">
        <v>451.6548698563667</v>
      </c>
      <c r="J207" s="30">
        <v>648.62515728597032</v>
      </c>
    </row>
    <row r="208" spans="4:10" x14ac:dyDescent="0.3">
      <c r="D208" s="159"/>
      <c r="E208" s="123">
        <v>7.2599999999999998E-2</v>
      </c>
      <c r="F208" s="30">
        <v>1259.0356808335146</v>
      </c>
      <c r="G208" s="122">
        <v>1486.6356370260983</v>
      </c>
      <c r="H208" s="124">
        <v>3466.5315054161056</v>
      </c>
      <c r="I208" s="122">
        <v>-233.44449167072707</v>
      </c>
      <c r="J208" s="30">
        <v>366.28398100859397</v>
      </c>
    </row>
    <row r="209" spans="4:10" x14ac:dyDescent="0.3">
      <c r="D209" s="159"/>
      <c r="E209" s="121">
        <v>0.1</v>
      </c>
      <c r="F209" s="30">
        <v>933.60465902435396</v>
      </c>
      <c r="G209" s="122">
        <v>998.3994731258814</v>
      </c>
      <c r="H209" s="122">
        <v>1183.9341089745933</v>
      </c>
      <c r="I209" s="122">
        <v>2294.2957551564305</v>
      </c>
      <c r="J209" s="30">
        <v>-815.85532171689044</v>
      </c>
    </row>
    <row r="210" spans="4:10" x14ac:dyDescent="0.3">
      <c r="D210" s="159"/>
      <c r="E210" s="121">
        <v>0.13</v>
      </c>
      <c r="F210" s="30">
        <v>723.95648361071858</v>
      </c>
      <c r="G210" s="30">
        <v>748.61542714016218</v>
      </c>
      <c r="H210" s="30">
        <v>800.87107160143057</v>
      </c>
      <c r="I210" s="30">
        <v>918.14566390508742</v>
      </c>
      <c r="J210" s="30">
        <v>1223.3000900819532</v>
      </c>
    </row>
  </sheetData>
  <mergeCells count="7">
    <mergeCell ref="D206:D210"/>
    <mergeCell ref="E3:I3"/>
    <mergeCell ref="J3:S3"/>
    <mergeCell ref="D192:J192"/>
    <mergeCell ref="F195:J195"/>
    <mergeCell ref="D197:D201"/>
    <mergeCell ref="F204:J204"/>
  </mergeCells>
  <pageMargins left="0.7" right="0.7" top="0.75" bottom="0.75" header="0.3" footer="0.3"/>
  <ignoredErrors>
    <ignoredError sqref="E30 F30:I30 E64 F64:I64 E71:I71 E78:I78 E83:I83 E79:I79 E116:I117 E119:I119 E102:I102" formulaRange="1"/>
    <ignoredError sqref="J5:S5" evalError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>
                <anchor moveWithCells="1">
                  <from>
                    <xdr:col>1</xdr:col>
                    <xdr:colOff>3657600</xdr:colOff>
                    <xdr:row>8</xdr:row>
                    <xdr:rowOff>160020</xdr:rowOff>
                  </from>
                  <to>
                    <xdr:col>2</xdr:col>
                    <xdr:colOff>586740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8D8EB-806F-4ECF-B196-58203FAED822}">
  <dimension ref="B2:AM34"/>
  <sheetViews>
    <sheetView showGridLines="0" topLeftCell="A10" zoomScale="108" workbookViewId="0">
      <selection activeCell="S33" sqref="S33"/>
    </sheetView>
  </sheetViews>
  <sheetFormatPr defaultRowHeight="14.4" x14ac:dyDescent="0.3"/>
  <cols>
    <col min="2" max="2" width="40.44140625" bestFit="1" customWidth="1"/>
    <col min="5" max="5" width="9.33203125" bestFit="1" customWidth="1"/>
    <col min="20" max="20" width="1.88671875" customWidth="1"/>
  </cols>
  <sheetData>
    <row r="2" spans="2:39" ht="28.8" x14ac:dyDescent="0.55000000000000004">
      <c r="B2" s="15" t="str">
        <f>Model!B2</f>
        <v>Hindustan Uniliver Ltd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</row>
    <row r="3" spans="2:39" x14ac:dyDescent="0.3">
      <c r="B3" s="16" t="str">
        <f>Model!B3</f>
        <v>HINDUNILVR | 500696</v>
      </c>
      <c r="C3" s="2"/>
      <c r="D3" s="2"/>
      <c r="E3" s="17"/>
      <c r="F3" s="17"/>
      <c r="G3" s="17"/>
      <c r="H3" s="17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</row>
    <row r="4" spans="2:39" x14ac:dyDescent="0.3">
      <c r="B4" s="16" t="str">
        <f>Model!B4</f>
        <v>Financial Statement &amp; DCF Analysis</v>
      </c>
      <c r="C4" s="2"/>
      <c r="D4" s="2"/>
      <c r="E4" s="18">
        <f>Model!E4</f>
        <v>2022</v>
      </c>
      <c r="F4" s="18">
        <f>Model!F4</f>
        <v>2023</v>
      </c>
      <c r="G4" s="18">
        <f>Model!G4</f>
        <v>2024</v>
      </c>
      <c r="H4" s="18">
        <f>Model!H4</f>
        <v>2025</v>
      </c>
      <c r="I4" s="18">
        <f>Model!I4</f>
        <v>2026</v>
      </c>
      <c r="J4" s="44">
        <f>Model!J4</f>
        <v>2027</v>
      </c>
      <c r="K4" s="44">
        <f>Model!K4</f>
        <v>2028</v>
      </c>
      <c r="L4" s="44">
        <f>Model!L4</f>
        <v>2029</v>
      </c>
      <c r="M4" s="44">
        <f>Model!M4</f>
        <v>2030</v>
      </c>
      <c r="N4" s="44">
        <f>Model!N4</f>
        <v>2031</v>
      </c>
      <c r="O4" s="44">
        <f>Model!O4</f>
        <v>2032</v>
      </c>
      <c r="P4" s="44">
        <f>Model!P4</f>
        <v>2033</v>
      </c>
      <c r="Q4" s="44">
        <f>Model!Q4</f>
        <v>2034</v>
      </c>
      <c r="R4" s="44">
        <f>Model!R4</f>
        <v>2035</v>
      </c>
      <c r="S4" s="44">
        <f>Model!S4</f>
        <v>2036</v>
      </c>
      <c r="U4" s="16" t="s">
        <v>457</v>
      </c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</row>
    <row r="6" spans="2:39" x14ac:dyDescent="0.3">
      <c r="B6" s="127" t="s">
        <v>399</v>
      </c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</row>
    <row r="7" spans="2:39" x14ac:dyDescent="0.3">
      <c r="B7" s="126" t="s">
        <v>400</v>
      </c>
      <c r="E7" s="150">
        <f>Model!E32/Model!E29</f>
        <v>0.50930480875567252</v>
      </c>
      <c r="F7" s="150">
        <f>Model!F32/Model!F29</f>
        <v>0.4764608781776164</v>
      </c>
      <c r="G7" s="150">
        <f>Model!G32/Model!G29</f>
        <v>0.51919348584722758</v>
      </c>
      <c r="H7" s="150">
        <f>Model!H32/Model!H29</f>
        <v>0.51556534275439236</v>
      </c>
      <c r="I7" s="150">
        <f>Model!I32/Model!I29</f>
        <v>0.50882608425885711</v>
      </c>
      <c r="J7" s="35">
        <f>Model!J32/Model!J29</f>
        <v>0.50587011995875319</v>
      </c>
      <c r="K7" s="35">
        <f>Model!K32/Model!K29</f>
        <v>0.50587011995875319</v>
      </c>
      <c r="L7" s="35">
        <f>Model!L32/Model!L29</f>
        <v>0.50587011995875331</v>
      </c>
      <c r="M7" s="35">
        <f>Model!M32/Model!M29</f>
        <v>0.50587011995875331</v>
      </c>
      <c r="N7" s="35">
        <f>Model!N32/Model!N29</f>
        <v>0.50587011995875331</v>
      </c>
      <c r="O7" s="35">
        <f>Model!O32/Model!O29</f>
        <v>0.50587011995875319</v>
      </c>
      <c r="P7" s="35">
        <f>Model!P32/Model!P29</f>
        <v>0.50587011995875331</v>
      </c>
      <c r="Q7" s="35">
        <f>Model!Q32/Model!Q29</f>
        <v>0.50587011995875331</v>
      </c>
      <c r="R7" s="35">
        <f>Model!R32/Model!R29</f>
        <v>0.50587011995875319</v>
      </c>
      <c r="S7" s="35">
        <f>Model!S32/Model!S29</f>
        <v>0.50587011995875331</v>
      </c>
      <c r="U7" t="s">
        <v>459</v>
      </c>
    </row>
    <row r="8" spans="2:39" x14ac:dyDescent="0.3">
      <c r="B8" s="126" t="s">
        <v>401</v>
      </c>
      <c r="E8" s="150">
        <f>Model!E38/Model!E29</f>
        <v>0.24514738969606834</v>
      </c>
      <c r="F8" s="150">
        <f>Model!F38/Model!F29</f>
        <v>0.23355893034004621</v>
      </c>
      <c r="G8" s="150">
        <f>Model!G38/Model!G29</f>
        <v>0.23689737624402224</v>
      </c>
      <c r="H8" s="150">
        <f>Model!H38/Model!H29</f>
        <v>0.23527827505901364</v>
      </c>
      <c r="I8" s="150">
        <f>Model!I38/Model!I29</f>
        <v>0.23351119935471862</v>
      </c>
      <c r="J8" s="35">
        <f>Model!J38/Model!J29</f>
        <v>0.2368786341387738</v>
      </c>
      <c r="K8" s="35">
        <f>Model!K38/Model!K29</f>
        <v>0.2368786341387738</v>
      </c>
      <c r="L8" s="35">
        <f>Model!L38/Model!L29</f>
        <v>0.23687863413877386</v>
      </c>
      <c r="M8" s="35">
        <f>Model!M38/Model!M29</f>
        <v>0.23687863413877386</v>
      </c>
      <c r="N8" s="35">
        <f>Model!N38/Model!N29</f>
        <v>0.23687863413877391</v>
      </c>
      <c r="O8" s="35">
        <f>Model!O38/Model!O29</f>
        <v>0.23687863413877377</v>
      </c>
      <c r="P8" s="35">
        <f>Model!P38/Model!P29</f>
        <v>0.23687863413877389</v>
      </c>
      <c r="Q8" s="35">
        <f>Model!Q38/Model!Q29</f>
        <v>0.23687863413877383</v>
      </c>
      <c r="R8" s="35">
        <f>Model!R38/Model!R29</f>
        <v>0.2368786341387738</v>
      </c>
      <c r="S8" s="35">
        <f>Model!S38/Model!S29</f>
        <v>0.23687863413877383</v>
      </c>
      <c r="U8" t="s">
        <v>460</v>
      </c>
    </row>
    <row r="9" spans="2:39" x14ac:dyDescent="0.3">
      <c r="B9" s="126" t="s">
        <v>402</v>
      </c>
      <c r="E9" s="150">
        <f>Model!E41/Model!E29</f>
        <v>0.22434504061320215</v>
      </c>
      <c r="F9" s="150">
        <f>Model!F41/Model!F29</f>
        <v>0.21479035985473754</v>
      </c>
      <c r="G9" s="150">
        <f>Model!G41/Model!G29</f>
        <v>0.21725151867648959</v>
      </c>
      <c r="H9" s="150">
        <f>Model!H41/Model!H29</f>
        <v>0.2138115682577906</v>
      </c>
      <c r="I9" s="150">
        <f>Model!I41/Model!I29</f>
        <v>0.21283427436867902</v>
      </c>
      <c r="J9" s="35">
        <f>Model!J41/Model!J29</f>
        <v>0.22044811986151541</v>
      </c>
      <c r="K9" s="35">
        <f>Model!K41/Model!K29</f>
        <v>0.22252856578772001</v>
      </c>
      <c r="L9" s="35">
        <f>Model!L41/Model!L29</f>
        <v>0.22424722756994986</v>
      </c>
      <c r="M9" s="35">
        <f>Model!M41/Model!M29</f>
        <v>0.22567661489387189</v>
      </c>
      <c r="N9" s="35">
        <f>Model!N41/Model!N29</f>
        <v>0.22687362627791638</v>
      </c>
      <c r="O9" s="35">
        <f>Model!O41/Model!O29</f>
        <v>0.2278831034077192</v>
      </c>
      <c r="P9" s="35">
        <f>Model!P41/Model!P29</f>
        <v>0.22874053263169636</v>
      </c>
      <c r="Q9" s="35">
        <f>Model!Q41/Model!Q29</f>
        <v>0.22947410862368106</v>
      </c>
      <c r="R9" s="35">
        <f>Model!R41/Model!R29</f>
        <v>0.23010631847901666</v>
      </c>
      <c r="S9" s="35">
        <f>Model!S41/Model!S29</f>
        <v>0.23065516338591688</v>
      </c>
      <c r="U9" t="s">
        <v>461</v>
      </c>
    </row>
    <row r="10" spans="2:39" x14ac:dyDescent="0.3">
      <c r="B10" s="126" t="s">
        <v>403</v>
      </c>
      <c r="E10" s="150">
        <f>Model!E49/Model!E29</f>
        <v>0.22640430156732638</v>
      </c>
      <c r="F10" s="150">
        <f>Model!F49/Model!F29</f>
        <v>0.22028722350610763</v>
      </c>
      <c r="G10" s="150">
        <f>Model!G49/Model!G29</f>
        <v>0.22499030632027917</v>
      </c>
      <c r="H10" s="150">
        <f>Model!H49/Model!H29</f>
        <v>0.22837090667131382</v>
      </c>
      <c r="I10" s="150">
        <f>Model!I49/Model!I29</f>
        <v>0.21424582738723089</v>
      </c>
      <c r="J10" s="35">
        <f>Model!J49/Model!J29</f>
        <v>0.22371167014261442</v>
      </c>
      <c r="K10" s="35">
        <f>Model!K49/Model!K29</f>
        <v>0.22616159562228347</v>
      </c>
      <c r="L10" s="35">
        <f>Model!L49/Model!L29</f>
        <v>0.2282116151052217</v>
      </c>
      <c r="M10" s="35">
        <f>Model!M49/Model!M29</f>
        <v>0.22993899284014399</v>
      </c>
      <c r="N10" s="35">
        <f>Model!N49/Model!N29</f>
        <v>0.23140468536518835</v>
      </c>
      <c r="O10" s="35">
        <f>Model!O49/Model!O29</f>
        <v>0.23265701168418734</v>
      </c>
      <c r="P10" s="35">
        <f>Model!P49/Model!P29</f>
        <v>0.23373444928713527</v>
      </c>
      <c r="Q10" s="35">
        <f>Model!Q49/Model!Q29</f>
        <v>0.23466777528727462</v>
      </c>
      <c r="R10" s="35">
        <f>Model!R49/Model!R29</f>
        <v>0.23548171429005804</v>
      </c>
      <c r="S10" s="35">
        <f>Model!S49/Model!S29</f>
        <v>0.23619621277718714</v>
      </c>
      <c r="U10" t="s">
        <v>462</v>
      </c>
    </row>
    <row r="11" spans="2:39" x14ac:dyDescent="0.3">
      <c r="B11" s="126" t="s">
        <v>404</v>
      </c>
      <c r="E11" s="150">
        <f>-Model!E50/Model!E49</f>
        <v>0.25113693784739766</v>
      </c>
      <c r="F11" s="150">
        <f>-Model!F50/Model!F49</f>
        <v>0.23994005245410266</v>
      </c>
      <c r="G11" s="150">
        <f>-Model!G50/Model!G49</f>
        <v>0.26166882091052707</v>
      </c>
      <c r="H11" s="150">
        <f>-Model!H50/Model!H49</f>
        <v>0.25972944849115503</v>
      </c>
      <c r="I11" s="150">
        <f>-Model!I50/Model!I49</f>
        <v>0.22878656240949899</v>
      </c>
      <c r="J11" s="35">
        <f>-Model!J50/Model!J49</f>
        <v>0.24825236442253623</v>
      </c>
      <c r="K11" s="35">
        <f>-Model!K50/Model!K49</f>
        <v>0.24825236442253623</v>
      </c>
      <c r="L11" s="35">
        <f>-Model!L50/Model!L49</f>
        <v>0.24825236442253623</v>
      </c>
      <c r="M11" s="35">
        <f>-Model!M50/Model!M49</f>
        <v>0.24825236442253623</v>
      </c>
      <c r="N11" s="35">
        <f>-Model!N50/Model!N49</f>
        <v>0.2482523644225362</v>
      </c>
      <c r="O11" s="35">
        <f>-Model!O50/Model!O49</f>
        <v>0.24825236442253626</v>
      </c>
      <c r="P11" s="35">
        <f>-Model!P50/Model!P49</f>
        <v>0.24825236442253626</v>
      </c>
      <c r="Q11" s="35">
        <f>-Model!Q50/Model!Q49</f>
        <v>0.24825236442253626</v>
      </c>
      <c r="R11" s="35">
        <f>-Model!R50/Model!R49</f>
        <v>0.2482523644225362</v>
      </c>
      <c r="S11" s="35">
        <f>-Model!S50/Model!S49</f>
        <v>0.24825236442253623</v>
      </c>
      <c r="U11" t="s">
        <v>463</v>
      </c>
    </row>
    <row r="12" spans="2:39" x14ac:dyDescent="0.3">
      <c r="B12" s="126" t="s">
        <v>405</v>
      </c>
      <c r="E12" s="150">
        <f>Model!E54/Model!E29</f>
        <v>0.16954581855622927</v>
      </c>
      <c r="F12" s="150">
        <f>Model!F54/Model!F29</f>
        <v>0.16743149554308354</v>
      </c>
      <c r="G12" s="150">
        <f>Model!G54/Model!G29</f>
        <v>0.16611735814915343</v>
      </c>
      <c r="H12" s="150">
        <f>Model!H54/Model!H29</f>
        <v>0.16905625703014845</v>
      </c>
      <c r="I12" s="150">
        <f>Model!I54/Model!I29</f>
        <v>0.16522926102872743</v>
      </c>
      <c r="J12" s="35">
        <f>Model!J54/Model!J29</f>
        <v>0.1681747190807959</v>
      </c>
      <c r="K12" s="35">
        <f>Model!K54/Model!K29</f>
        <v>0.1700164447674781</v>
      </c>
      <c r="L12" s="35">
        <f>Model!L54/Model!L29</f>
        <v>0.17155754206666463</v>
      </c>
      <c r="M12" s="35">
        <f>Model!M54/Model!M29</f>
        <v>0.17285609419464162</v>
      </c>
      <c r="N12" s="35">
        <f>Model!N54/Model!N29</f>
        <v>0.17395792508482727</v>
      </c>
      <c r="O12" s="35">
        <f>Model!O54/Model!O29</f>
        <v>0.1748993584341062</v>
      </c>
      <c r="P12" s="35">
        <f>Model!P54/Model!P29</f>
        <v>0.17570931960460454</v>
      </c>
      <c r="Q12" s="35">
        <f>Model!Q54/Model!Q29</f>
        <v>0.17641094521843229</v>
      </c>
      <c r="R12" s="35">
        <f>Model!R54/Model!R29</f>
        <v>0.17702282193927901</v>
      </c>
      <c r="S12" s="35">
        <f>Model!S54/Model!S29</f>
        <v>0.17755994448760198</v>
      </c>
      <c r="U12" t="s">
        <v>464</v>
      </c>
    </row>
    <row r="13" spans="2:39" x14ac:dyDescent="0.3">
      <c r="B13" s="126"/>
      <c r="E13" s="56"/>
      <c r="F13" s="56"/>
      <c r="G13" s="56"/>
      <c r="H13" s="56"/>
      <c r="I13" s="56"/>
    </row>
    <row r="14" spans="2:39" x14ac:dyDescent="0.3">
      <c r="B14" s="127" t="s">
        <v>406</v>
      </c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</row>
    <row r="15" spans="2:39" x14ac:dyDescent="0.3">
      <c r="B15" s="126" t="s">
        <v>407</v>
      </c>
      <c r="E15" s="56"/>
      <c r="F15" s="151">
        <f>Model!F29/AVERAGE(Model!E74:F74)</f>
        <v>0.84370908888331797</v>
      </c>
      <c r="G15" s="151">
        <f>Model!G29/AVERAGE(Model!F74:G74)</f>
        <v>0.81664533664058692</v>
      </c>
      <c r="H15" s="151">
        <f>Model!H29/AVERAGE(Model!G74:H74)</f>
        <v>0.79708799777748307</v>
      </c>
      <c r="I15" s="151">
        <f>Model!I29/AVERAGE(Model!H74:I74)</f>
        <v>0.80770772777387989</v>
      </c>
      <c r="J15" s="72">
        <f>Model!J29/AVERAGE(Model!I74:J74)</f>
        <v>0.85563064659628396</v>
      </c>
      <c r="K15" s="72">
        <f>Model!K29/AVERAGE(Model!J74:K74)</f>
        <v>0.89548517956679619</v>
      </c>
      <c r="L15" s="72">
        <f>Model!L29/AVERAGE(Model!K74:L74)</f>
        <v>0.92329649443441397</v>
      </c>
      <c r="M15" s="72">
        <f>Model!M29/AVERAGE(Model!L74:M74)</f>
        <v>0.94924343098705266</v>
      </c>
      <c r="N15" s="72">
        <f>Model!N29/AVERAGE(Model!M74:N74)</f>
        <v>0.97331652010682956</v>
      </c>
      <c r="O15" s="72">
        <f>Model!O29/AVERAGE(Model!N74:O74)</f>
        <v>0.99552346467042885</v>
      </c>
      <c r="P15" s="72">
        <f>Model!P29/AVERAGE(Model!O74:P74)</f>
        <v>1.0158868124481999</v>
      </c>
      <c r="Q15" s="72">
        <f>Model!Q29/AVERAGE(Model!P74:Q74)</f>
        <v>1.0344417220529842</v>
      </c>
      <c r="R15" s="72">
        <f>Model!R29/AVERAGE(Model!Q74:R74)</f>
        <v>1.0512338612118377</v>
      </c>
      <c r="S15" s="72">
        <f>Model!S29/AVERAGE(Model!R74:S74)</f>
        <v>1.0663174634428354</v>
      </c>
      <c r="U15" t="s">
        <v>465</v>
      </c>
    </row>
    <row r="16" spans="2:39" x14ac:dyDescent="0.3">
      <c r="B16" s="126"/>
      <c r="E16" s="56"/>
      <c r="F16" s="56"/>
      <c r="G16" s="56"/>
      <c r="H16" s="56"/>
      <c r="I16" s="56"/>
    </row>
    <row r="17" spans="2:21" x14ac:dyDescent="0.3">
      <c r="B17" s="127" t="s">
        <v>408</v>
      </c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</row>
    <row r="18" spans="2:21" x14ac:dyDescent="0.3">
      <c r="B18" s="126" t="s">
        <v>409</v>
      </c>
      <c r="E18" s="151">
        <f>SUM(Model!E60:E62)/SUM(Model!E78:E79)</f>
        <v>0.55401712515940971</v>
      </c>
      <c r="F18" s="151">
        <f>SUM(Model!F60:F62)/SUM(Model!F78:F79)</f>
        <v>0.66778581267217629</v>
      </c>
      <c r="G18" s="151">
        <f>SUM(Model!G60:G62)/SUM(Model!G78:G79)</f>
        <v>0.84461513842214753</v>
      </c>
      <c r="H18" s="151">
        <f>SUM(Model!H60:H62)/SUM(Model!H78:H79)</f>
        <v>0.70499628068435405</v>
      </c>
      <c r="I18" s="151">
        <f>SUM(Model!I60:I62)/SUM(Model!I78:I79)</f>
        <v>0.43670510708401977</v>
      </c>
      <c r="J18" s="72">
        <f>SUM(Model!J60:J62)/SUM(Model!J78:J79)</f>
        <v>0.47539133365720576</v>
      </c>
      <c r="K18" s="72">
        <f>SUM(Model!K60:K62)/SUM(Model!K78:K79)</f>
        <v>0.56784091828843519</v>
      </c>
      <c r="L18" s="72">
        <f>SUM(Model!L60:L62)/SUM(Model!L78:L79)</f>
        <v>0.65042867328625531</v>
      </c>
      <c r="M18" s="72">
        <f>SUM(Model!M60:M62)/SUM(Model!M78:M79)</f>
        <v>0.72509898962023678</v>
      </c>
      <c r="N18" s="72">
        <f>SUM(Model!N60:N62)/SUM(Model!N78:N79)</f>
        <v>0.79340742720457003</v>
      </c>
      <c r="O18" s="72">
        <f>SUM(Model!O60:O62)/SUM(Model!O78:O79)</f>
        <v>0.85660197718965525</v>
      </c>
      <c r="P18" s="72">
        <f>SUM(Model!P60:P62)/SUM(Model!P78:P79)</f>
        <v>0.91568668283519883</v>
      </c>
      <c r="Q18" s="72">
        <f>SUM(Model!Q60:Q62)/SUM(Model!Q78:Q79)</f>
        <v>0.97147155731053092</v>
      </c>
      <c r="R18" s="72">
        <f>SUM(Model!R60:R62)/SUM(Model!R78:R79)</f>
        <v>1.0246118431205813</v>
      </c>
      <c r="S18" s="72">
        <f>SUM(Model!S60:S62)/SUM(Model!S78:S79)</f>
        <v>1.0756389671902724</v>
      </c>
      <c r="U18" t="s">
        <v>466</v>
      </c>
    </row>
    <row r="19" spans="2:21" x14ac:dyDescent="0.3">
      <c r="B19" s="126" t="s">
        <v>410</v>
      </c>
      <c r="E19" s="151">
        <f>SUM(Model!E60:E64)/SUM(Model!E78:E79)</f>
        <v>1.0901803607214429</v>
      </c>
      <c r="F19" s="151">
        <f>SUM(Model!F60:F64)/SUM(Model!F78:F79)</f>
        <v>1.2182334710743801</v>
      </c>
      <c r="G19" s="151">
        <f>SUM(Model!G60:G64)/SUM(Model!G78:G79)</f>
        <v>1.3384541526644262</v>
      </c>
      <c r="H19" s="151">
        <f>SUM(Model!H60:H64)/SUM(Model!H78:H79)</f>
        <v>1.1315397966774114</v>
      </c>
      <c r="I19" s="151">
        <f>SUM(Model!I60:I64)/SUM(Model!I78:I79)</f>
        <v>0.97028006589785831</v>
      </c>
      <c r="J19" s="72">
        <f>SUM(Model!J60:J64)/SUM(Model!J78:J79)</f>
        <v>1.0622099069423891</v>
      </c>
      <c r="K19" s="72">
        <f>SUM(Model!K60:K64)/SUM(Model!K78:K79)</f>
        <v>1.1468332498218874</v>
      </c>
      <c r="L19" s="72">
        <f>SUM(Model!L60:L64)/SUM(Model!L78:L79)</f>
        <v>1.2223150081873468</v>
      </c>
      <c r="M19" s="72">
        <f>SUM(Model!M60:M64)/SUM(Model!M78:M79)</f>
        <v>1.2905231820341072</v>
      </c>
      <c r="N19" s="72">
        <f>SUM(Model!N60:N64)/SUM(Model!N78:N79)</f>
        <v>1.3529459155471359</v>
      </c>
      <c r="O19" s="72">
        <f>SUM(Model!O60:O64)/SUM(Model!O78:O79)</f>
        <v>1.410771666055586</v>
      </c>
      <c r="P19" s="72">
        <f>SUM(Model!P60:P64)/SUM(Model!P78:P79)</f>
        <v>1.4649518549321996</v>
      </c>
      <c r="Q19" s="72">
        <f>SUM(Model!Q60:Q64)/SUM(Model!Q78:Q79)</f>
        <v>1.516249930120108</v>
      </c>
      <c r="R19" s="72">
        <f>SUM(Model!R60:R64)/SUM(Model!R78:R79)</f>
        <v>1.5652798747758352</v>
      </c>
      <c r="S19" s="72">
        <f>SUM(Model!S60:S64)/SUM(Model!S78:S79)</f>
        <v>1.6125365053920742</v>
      </c>
      <c r="U19" t="s">
        <v>467</v>
      </c>
    </row>
    <row r="20" spans="2:21" x14ac:dyDescent="0.3">
      <c r="B20" s="126" t="s">
        <v>411</v>
      </c>
      <c r="E20" s="151">
        <f>Model!E21+Model!E22-Model!E23</f>
        <v>-54.956441679341523</v>
      </c>
      <c r="F20" s="151">
        <f>Model!F21+Model!F22-Model!F23</f>
        <v>-42.707889110440831</v>
      </c>
      <c r="G20" s="151">
        <f>Model!G21+Model!G22-Model!G23</f>
        <v>-61.606295367463431</v>
      </c>
      <c r="H20" s="151">
        <f>Model!H21+Model!H22-Model!H23</f>
        <v>-60.279598929045193</v>
      </c>
      <c r="I20" s="151">
        <f>Model!I21+Model!I22-Model!I23</f>
        <v>-79.262846001244213</v>
      </c>
      <c r="J20" s="72">
        <f>Model!J21+Model!J22-Model!J23</f>
        <v>-59.762614217507036</v>
      </c>
      <c r="K20" s="72">
        <f>Model!K21+Model!K22-Model!K23</f>
        <v>-59.762614217507036</v>
      </c>
      <c r="L20" s="72">
        <f>Model!L21+Model!L22-Model!L23</f>
        <v>-59.762614217507036</v>
      </c>
      <c r="M20" s="72">
        <f>Model!M21+Model!M22-Model!M23</f>
        <v>-59.762614217507036</v>
      </c>
      <c r="N20" s="72">
        <f>Model!N21+Model!N22-Model!N23</f>
        <v>-59.762614217507036</v>
      </c>
      <c r="O20" s="72">
        <f>Model!O21+Model!O22-Model!O23</f>
        <v>-59.762614217507036</v>
      </c>
      <c r="P20" s="72">
        <f>Model!P21+Model!P22-Model!P23</f>
        <v>-59.762614217507036</v>
      </c>
      <c r="Q20" s="72">
        <f>Model!Q21+Model!Q22-Model!Q23</f>
        <v>-59.762614217507036</v>
      </c>
      <c r="R20" s="72">
        <f>Model!R21+Model!R22-Model!R23</f>
        <v>-59.762614217507036</v>
      </c>
      <c r="S20" s="72">
        <f>Model!S21+Model!S22-Model!S23</f>
        <v>-59.762614217507036</v>
      </c>
      <c r="U20" t="s">
        <v>468</v>
      </c>
    </row>
    <row r="21" spans="2:21" x14ac:dyDescent="0.3">
      <c r="B21" s="126"/>
      <c r="E21" s="56"/>
      <c r="F21" s="56"/>
      <c r="G21" s="56"/>
      <c r="H21" s="56"/>
      <c r="I21" s="56"/>
    </row>
    <row r="22" spans="2:21" x14ac:dyDescent="0.3">
      <c r="B22" s="127" t="s">
        <v>412</v>
      </c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</row>
    <row r="23" spans="2:21" x14ac:dyDescent="0.3">
      <c r="B23" s="126" t="s">
        <v>413</v>
      </c>
      <c r="E23" s="152">
        <f>Model!E74/Model!E90</f>
        <v>1.4373331159169198</v>
      </c>
      <c r="F23" s="152">
        <f>Model!F74/Model!F90</f>
        <v>1.4529063295165394</v>
      </c>
      <c r="G23" s="152">
        <f>Model!G74/Model!G90</f>
        <v>1.5326447733218791</v>
      </c>
      <c r="H23" s="152">
        <f>Model!H74/Model!H90</f>
        <v>1.6169385854823692</v>
      </c>
      <c r="I23" s="152">
        <f>Model!I74/Model!I90</f>
        <v>1.6363076796815692</v>
      </c>
      <c r="J23" s="71">
        <f>Model!J74/Model!J90</f>
        <v>1.6026688028560638</v>
      </c>
      <c r="K23" s="71">
        <f>Model!K74/Model!K90</f>
        <v>1.6067408660083076</v>
      </c>
      <c r="L23" s="71">
        <f>Model!L74/Model!L90</f>
        <v>1.6100815338046703</v>
      </c>
      <c r="M23" s="71">
        <f>Model!M74/Model!M90</f>
        <v>1.612693055209149</v>
      </c>
      <c r="N23" s="71">
        <f>Model!N74/Model!N90</f>
        <v>1.6145846320896002</v>
      </c>
      <c r="O23" s="71">
        <f>Model!O74/Model!O90</f>
        <v>1.6157717032390899</v>
      </c>
      <c r="P23" s="71">
        <f>Model!P74/Model!P90</f>
        <v>1.6162751654837835</v>
      </c>
      <c r="Q23" s="71">
        <f>Model!Q74/Model!Q90</f>
        <v>1.6161205647435757</v>
      </c>
      <c r="R23" s="71">
        <f>Model!R74/Model!R90</f>
        <v>1.6153372853518637</v>
      </c>
      <c r="S23" s="71">
        <f>Model!S74/Model!S90</f>
        <v>1.61395776102581</v>
      </c>
      <c r="T23" s="71"/>
      <c r="U23" t="s">
        <v>469</v>
      </c>
    </row>
    <row r="24" spans="2:21" x14ac:dyDescent="0.3">
      <c r="B24" s="126" t="s">
        <v>305</v>
      </c>
      <c r="E24" s="152">
        <f>Model!E82/Model!E90</f>
        <v>2.1259248690405821E-2</v>
      </c>
      <c r="F24" s="152">
        <f>Model!F82/Model!F90</f>
        <v>2.4232665394402036E-2</v>
      </c>
      <c r="G24" s="152">
        <f>Model!G82/Model!G90</f>
        <v>2.8974188761763442E-2</v>
      </c>
      <c r="H24" s="152">
        <f>Model!H82/Model!H90</f>
        <v>3.3358973320918181E-2</v>
      </c>
      <c r="I24" s="152">
        <f>Model!I82/Model!I90</f>
        <v>3.032479123494532E-2</v>
      </c>
      <c r="J24" s="71">
        <f>Model!J82/Model!J90</f>
        <v>2.9927329316503139E-2</v>
      </c>
      <c r="K24" s="71">
        <f>Model!K82/Model!K90</f>
        <v>2.9516197605576736E-2</v>
      </c>
      <c r="L24" s="71">
        <f>Model!L82/Model!L90</f>
        <v>2.909348150624709E-2</v>
      </c>
      <c r="M24" s="71">
        <f>Model!M82/Model!M90</f>
        <v>2.8661186658637983E-2</v>
      </c>
      <c r="N24" s="71">
        <f>Model!N82/Model!N90</f>
        <v>2.8221227117288611E-2</v>
      </c>
      <c r="O24" s="71">
        <f>Model!O82/Model!O90</f>
        <v>2.7775415365370877E-2</v>
      </c>
      <c r="P24" s="71">
        <f>Model!P82/Model!P90</f>
        <v>2.7325454356724933E-2</v>
      </c>
      <c r="Q24" s="71">
        <f>Model!Q82/Model!Q90</f>
        <v>2.6872931660603842E-2</v>
      </c>
      <c r="R24" s="71">
        <f>Model!R82/Model!R90</f>
        <v>2.6419315685170273E-2</v>
      </c>
      <c r="S24" s="71">
        <f>Model!S82/Model!S90</f>
        <v>2.5965953876873338E-2</v>
      </c>
      <c r="T24" s="71"/>
      <c r="U24" t="s">
        <v>470</v>
      </c>
    </row>
    <row r="25" spans="2:21" x14ac:dyDescent="0.3">
      <c r="B25" s="126"/>
      <c r="E25" s="56"/>
      <c r="F25" s="56"/>
      <c r="G25" s="56"/>
      <c r="H25" s="56"/>
      <c r="I25" s="56"/>
    </row>
    <row r="26" spans="2:21" x14ac:dyDescent="0.3">
      <c r="B26" s="127" t="s">
        <v>414</v>
      </c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</row>
    <row r="27" spans="2:21" x14ac:dyDescent="0.3">
      <c r="B27" s="126" t="s">
        <v>415</v>
      </c>
      <c r="E27" s="56"/>
      <c r="F27" s="151">
        <f>Model!F29/AVERAGE(Model!E62:F62)</f>
        <v>22.795860771401692</v>
      </c>
      <c r="G27" s="151">
        <f>Model!G29/AVERAGE(Model!F62:G62)</f>
        <v>20.373930217248191</v>
      </c>
      <c r="H27" s="151">
        <f>Model!H29/AVERAGE(Model!G62:H62)</f>
        <v>18.521420187793428</v>
      </c>
      <c r="I27" s="151">
        <f>Model!I29/AVERAGE(Model!H62:I62)</f>
        <v>17.912753542650737</v>
      </c>
      <c r="J27" s="72">
        <f>Model!J29/AVERAGE(Model!I62:J62)</f>
        <v>19.867972195742677</v>
      </c>
      <c r="K27" s="72">
        <f>Model!K29/AVERAGE(Model!J62:K62)</f>
        <v>20.113525185697227</v>
      </c>
      <c r="L27" s="72">
        <f>Model!L29/AVERAGE(Model!K62:L62)</f>
        <v>20.084816996546362</v>
      </c>
      <c r="M27" s="72">
        <f>Model!M29/AVERAGE(Model!L62:M62)</f>
        <v>20.057752637903516</v>
      </c>
      <c r="N27" s="72">
        <f>Model!N29/AVERAGE(Model!M62:N62)</f>
        <v>20.032242340791253</v>
      </c>
      <c r="O27" s="72">
        <f>Model!O29/AVERAGE(Model!N62:O62)</f>
        <v>20.008200739640753</v>
      </c>
      <c r="P27" s="72">
        <f>Model!P29/AVERAGE(Model!O62:P62)</f>
        <v>19.985546714519977</v>
      </c>
      <c r="Q27" s="72">
        <f>Model!Q29/AVERAGE(Model!P62:Q62)</f>
        <v>19.964203231725929</v>
      </c>
      <c r="R27" s="72">
        <f>Model!R29/AVERAGE(Model!Q62:R62)</f>
        <v>19.944097183926512</v>
      </c>
      <c r="S27" s="72">
        <f>Model!S29/AVERAGE(Model!R62:S62)</f>
        <v>19.925159230871756</v>
      </c>
      <c r="U27" t="s">
        <v>471</v>
      </c>
    </row>
    <row r="28" spans="2:21" x14ac:dyDescent="0.3">
      <c r="B28" s="126" t="s">
        <v>416</v>
      </c>
      <c r="E28" s="56"/>
      <c r="F28" s="52">
        <f>Model!F21</f>
        <v>18.551254539451964</v>
      </c>
      <c r="G28" s="52">
        <f>Model!G21</f>
        <v>17.673274525009692</v>
      </c>
      <c r="H28" s="52">
        <f>Model!H21</f>
        <v>22.08353796676225</v>
      </c>
      <c r="I28" s="52">
        <f>Model!I21</f>
        <v>19.130964199292674</v>
      </c>
      <c r="J28" s="38">
        <f>Model!J21</f>
        <v>18.600112237027314</v>
      </c>
      <c r="K28" s="38">
        <f>Model!K21</f>
        <v>18.600112237027314</v>
      </c>
      <c r="L28" s="38">
        <f>Model!L21</f>
        <v>18.600112237027314</v>
      </c>
      <c r="M28" s="38">
        <f>Model!M21</f>
        <v>18.600112237027314</v>
      </c>
      <c r="N28" s="38">
        <f>Model!N21</f>
        <v>18.600112237027314</v>
      </c>
      <c r="O28" s="38">
        <f>Model!O21</f>
        <v>18.600112237027314</v>
      </c>
      <c r="P28" s="38">
        <f>Model!P21</f>
        <v>18.600112237027314</v>
      </c>
      <c r="Q28" s="38">
        <f>Model!Q21</f>
        <v>18.600112237027314</v>
      </c>
      <c r="R28" s="38">
        <f>Model!R21</f>
        <v>18.600112237027314</v>
      </c>
      <c r="S28" s="38">
        <f>Model!S21</f>
        <v>18.600112237027314</v>
      </c>
      <c r="U28" t="s">
        <v>472</v>
      </c>
    </row>
    <row r="29" spans="2:21" x14ac:dyDescent="0.3">
      <c r="B29" s="126" t="s">
        <v>417</v>
      </c>
      <c r="E29" s="56"/>
      <c r="F29" s="151">
        <f>-Model!F30/AVERAGE(Model!E63:F63)</f>
        <v>7.5993770216844378</v>
      </c>
      <c r="G29" s="151">
        <f>-Model!G30/AVERAGE(Model!F63:G63)</f>
        <v>7.1944880937991051</v>
      </c>
      <c r="H29" s="151">
        <f>-Model!H30/AVERAGE(Model!G63:H63)</f>
        <v>7.2485480621073846</v>
      </c>
      <c r="I29" s="151">
        <f>-Model!I30/AVERAGE(Model!H63:I63)</f>
        <v>6.8807040417209908</v>
      </c>
      <c r="J29" s="72">
        <f>-Model!J30/AVERAGE(Model!I63:J63)</f>
        <v>6.9599102798339638</v>
      </c>
      <c r="K29" s="72">
        <f>-Model!K30/AVERAGE(Model!J63:K63)</f>
        <v>7.0788482206535805</v>
      </c>
      <c r="L29" s="72">
        <f>-Model!L30/AVERAGE(Model!K63:L63)</f>
        <v>7.0687445261588273</v>
      </c>
      <c r="M29" s="72">
        <f>-Model!M30/AVERAGE(Model!L63:M63)</f>
        <v>7.0592193690690968</v>
      </c>
      <c r="N29" s="72">
        <f>-Model!N30/AVERAGE(Model!M63:N63)</f>
        <v>7.0502411556701876</v>
      </c>
      <c r="O29" s="72">
        <f>-Model!O30/AVERAGE(Model!N63:O63)</f>
        <v>7.0417798420041544</v>
      </c>
      <c r="P29" s="72">
        <f>-Model!P30/AVERAGE(Model!O63:P63)</f>
        <v>7.0338068783423244</v>
      </c>
      <c r="Q29" s="72">
        <f>-Model!Q30/AVERAGE(Model!P63:Q63)</f>
        <v>7.026295153082617</v>
      </c>
      <c r="R29" s="72">
        <f>-Model!R30/AVERAGE(Model!Q63:R63)</f>
        <v>7.0192189364882971</v>
      </c>
      <c r="S29" s="72">
        <f>-Model!S30/AVERAGE(Model!R63:S63)</f>
        <v>7.0125538246271599</v>
      </c>
      <c r="U29" t="s">
        <v>473</v>
      </c>
    </row>
    <row r="30" spans="2:21" x14ac:dyDescent="0.3">
      <c r="B30" s="126" t="s">
        <v>418</v>
      </c>
      <c r="E30" s="56"/>
      <c r="F30" s="52">
        <f>Model!F22</f>
        <v>48.922152856602345</v>
      </c>
      <c r="G30" s="52">
        <f>Model!G22</f>
        <v>49.328965053763447</v>
      </c>
      <c r="H30" s="52">
        <f>Model!H22</f>
        <v>52.700470926810127</v>
      </c>
      <c r="I30" s="52">
        <f>Model!I22</f>
        <v>55.202431706931939</v>
      </c>
      <c r="J30" s="38">
        <f>Model!J22</f>
        <v>52.849533465728506</v>
      </c>
      <c r="K30" s="38">
        <f>Model!K22</f>
        <v>52.849533465728506</v>
      </c>
      <c r="L30" s="38">
        <f>Model!L22</f>
        <v>52.849533465728506</v>
      </c>
      <c r="M30" s="38">
        <f>Model!M22</f>
        <v>52.849533465728506</v>
      </c>
      <c r="N30" s="38">
        <f>Model!N22</f>
        <v>52.849533465728506</v>
      </c>
      <c r="O30" s="38">
        <f>Model!O22</f>
        <v>52.849533465728506</v>
      </c>
      <c r="P30" s="38">
        <f>Model!P22</f>
        <v>52.849533465728506</v>
      </c>
      <c r="Q30" s="38">
        <f>Model!Q22</f>
        <v>52.849533465728506</v>
      </c>
      <c r="R30" s="38">
        <f>Model!R22</f>
        <v>52.849533465728506</v>
      </c>
      <c r="S30" s="38">
        <f>Model!S22</f>
        <v>52.849533465728506</v>
      </c>
      <c r="U30" t="s">
        <v>474</v>
      </c>
    </row>
    <row r="31" spans="2:21" x14ac:dyDescent="0.3">
      <c r="B31" s="126" t="s">
        <v>419</v>
      </c>
      <c r="E31" s="56"/>
      <c r="F31" s="151">
        <f>-Model!F30/AVERAGE(Model!E78:F78)</f>
        <v>3.4026392018023817</v>
      </c>
      <c r="G31" s="151">
        <f>-Model!G30/AVERAGE(Model!F78:G78)</f>
        <v>2.9670987038883352</v>
      </c>
      <c r="H31" s="151">
        <f>-Model!H30/AVERAGE(Model!G78:H78)</f>
        <v>2.8051924223659466</v>
      </c>
      <c r="I31" s="151">
        <f>-Model!I30/AVERAGE(Model!H78:I78)</f>
        <v>2.5702110389610389</v>
      </c>
      <c r="J31" s="72">
        <f>-Model!J30/AVERAGE(Model!I78:J78)</f>
        <v>2.6449217601865591</v>
      </c>
      <c r="K31" s="72">
        <f>-Model!K30/AVERAGE(Model!J78:K78)</f>
        <v>2.851210901813531</v>
      </c>
      <c r="L31" s="72">
        <f>-Model!L30/AVERAGE(Model!K78:L78)</f>
        <v>2.8471413465703512</v>
      </c>
      <c r="M31" s="72">
        <f>-Model!M30/AVERAGE(Model!L78:M78)</f>
        <v>2.8433048140033033</v>
      </c>
      <c r="N31" s="72">
        <f>-Model!N30/AVERAGE(Model!M78:N78)</f>
        <v>2.8396885788300321</v>
      </c>
      <c r="O31" s="72">
        <f>-Model!O30/AVERAGE(Model!N78:O78)</f>
        <v>2.8362805399773454</v>
      </c>
      <c r="P31" s="72">
        <f>-Model!P30/AVERAGE(Model!O78:P78)</f>
        <v>2.8330691982161182</v>
      </c>
      <c r="Q31" s="72">
        <f>-Model!Q30/AVERAGE(Model!P78:Q78)</f>
        <v>2.8300436335643124</v>
      </c>
      <c r="R31" s="72">
        <f>-Model!R30/AVERAGE(Model!Q78:R78)</f>
        <v>2.8271934826261349</v>
      </c>
      <c r="S31" s="72">
        <f>-Model!S30/AVERAGE(Model!R78:S78)</f>
        <v>2.8245089160119163</v>
      </c>
      <c r="U31" t="s">
        <v>475</v>
      </c>
    </row>
    <row r="32" spans="2:21" x14ac:dyDescent="0.3">
      <c r="B32" s="126" t="s">
        <v>420</v>
      </c>
      <c r="E32" s="56"/>
      <c r="F32" s="52">
        <f>Model!F23</f>
        <v>110.18129650649514</v>
      </c>
      <c r="G32" s="52">
        <f>Model!G23</f>
        <v>128.60853494623657</v>
      </c>
      <c r="H32" s="52">
        <f>Model!H23</f>
        <v>135.06360782261757</v>
      </c>
      <c r="I32" s="52">
        <f>Model!I23</f>
        <v>153.59624190746882</v>
      </c>
      <c r="J32" s="38">
        <f>Model!J23</f>
        <v>131.21225992026285</v>
      </c>
      <c r="K32" s="38">
        <f>Model!K23</f>
        <v>131.21225992026285</v>
      </c>
      <c r="L32" s="38">
        <f>Model!L23</f>
        <v>131.21225992026285</v>
      </c>
      <c r="M32" s="38">
        <f>Model!M23</f>
        <v>131.21225992026285</v>
      </c>
      <c r="N32" s="38">
        <f>Model!N23</f>
        <v>131.21225992026285</v>
      </c>
      <c r="O32" s="38">
        <f>Model!O23</f>
        <v>131.21225992026285</v>
      </c>
      <c r="P32" s="38">
        <f>Model!P23</f>
        <v>131.21225992026285</v>
      </c>
      <c r="Q32" s="38">
        <f>Model!Q23</f>
        <v>131.21225992026285</v>
      </c>
      <c r="R32" s="38">
        <f>Model!R23</f>
        <v>131.21225992026285</v>
      </c>
      <c r="S32" s="38">
        <f>Model!S23</f>
        <v>131.21225992026285</v>
      </c>
      <c r="U32" t="s">
        <v>458</v>
      </c>
    </row>
    <row r="33" spans="2:21" x14ac:dyDescent="0.3">
      <c r="B33" s="126" t="s">
        <v>421</v>
      </c>
      <c r="E33" s="56"/>
      <c r="F33" s="151">
        <f>Model!F29/AVERAGE(Model!E67:F67)</f>
        <v>9.2361640493977735</v>
      </c>
      <c r="G33" s="151">
        <f>Model!G29/AVERAGE(Model!F67:G67)</f>
        <v>8.2638184245660877</v>
      </c>
      <c r="H33" s="151">
        <f>Model!H29/AVERAGE(Model!G67:H67)</f>
        <v>7.5793707973102782</v>
      </c>
      <c r="I33" s="151">
        <f>Model!I29/AVERAGE(Model!H67:I67)</f>
        <v>7.6715654191705838</v>
      </c>
      <c r="J33" s="72">
        <f>Model!J29/AVERAGE(Model!I67:J67)</f>
        <v>8.6632735232671063</v>
      </c>
      <c r="K33" s="72">
        <f>Model!K29/AVERAGE(Model!J67:K67)</f>
        <v>9.8960414081820023</v>
      </c>
      <c r="L33" s="72">
        <f>Model!L29/AVERAGE(Model!K67:L67)</f>
        <v>11.217075189956136</v>
      </c>
      <c r="M33" s="72">
        <f>Model!M29/AVERAGE(Model!L67:M67)</f>
        <v>12.621105825721692</v>
      </c>
      <c r="N33" s="72">
        <f>Model!N29/AVERAGE(Model!M67:N67)</f>
        <v>14.102497060505183</v>
      </c>
      <c r="O33" s="72">
        <f>Model!O29/AVERAGE(Model!N67:O67)</f>
        <v>15.655688437176885</v>
      </c>
      <c r="P33" s="72">
        <f>Model!P29/AVERAGE(Model!O67:P67)</f>
        <v>17.27559528084133</v>
      </c>
      <c r="Q33" s="72">
        <f>Model!Q29/AVERAGE(Model!P67:Q67)</f>
        <v>18.957936794978004</v>
      </c>
      <c r="R33" s="72">
        <f>Model!R29/AVERAGE(Model!Q67:R67)</f>
        <v>20.699476944851813</v>
      </c>
      <c r="S33" s="72">
        <f>Model!S29/AVERAGE(Model!R67:S67)</f>
        <v>22.498175716578942</v>
      </c>
      <c r="U33" t="s">
        <v>476</v>
      </c>
    </row>
    <row r="34" spans="2:21" x14ac:dyDescent="0.3">
      <c r="B34" s="126" t="s">
        <v>422</v>
      </c>
      <c r="E34" s="56"/>
      <c r="F34" s="153">
        <f>Model!F41*(1-Model!F19)/AVERAGE((Model!E90+Model!E82-Model!E60),(Model!F90+Model!F82-Model!F60))</f>
        <v>0.1982619336741418</v>
      </c>
      <c r="G34" s="153">
        <f>Model!G41*(1-Model!G19)/AVERAGE((Model!F90+Model!F82-Model!F60),(Model!G90+Model!G82-Model!G60))</f>
        <v>0.19337279405597924</v>
      </c>
      <c r="H34" s="153">
        <f>Model!H41*(1-Model!H19)/AVERAGE((Model!G90+Model!G82-Model!G60),(Model!H90+Model!H82-Model!H60))</f>
        <v>0.20629989599329671</v>
      </c>
      <c r="I34" s="153">
        <f>Model!I41*(1-Model!I19)/AVERAGE((Model!H90+Model!H82-Model!H60),(Model!I90+Model!I82-Model!I60))</f>
        <v>0.22851693773399551</v>
      </c>
      <c r="J34" s="76">
        <f>Model!J41*(1-Model!J19)/AVERAGE((Model!I90+Model!I82-Model!I60),(Model!J90+Model!J82-Model!J60))</f>
        <v>0.23468695652308261</v>
      </c>
      <c r="K34" s="76">
        <f>Model!K41*(1-Model!K19)/AVERAGE((Model!J90+Model!J82-Model!J60),(Model!K90+Model!K82-Model!K60))</f>
        <v>0.24912314737895136</v>
      </c>
      <c r="L34" s="76">
        <f>Model!L41*(1-Model!L19)/AVERAGE((Model!K90+Model!K82-Model!K60),(Model!L90+Model!L82-Model!L60))</f>
        <v>0.26722417430999862</v>
      </c>
      <c r="M34" s="76">
        <f>Model!M41*(1-Model!M19)/AVERAGE((Model!L90+Model!L82-Model!L60),(Model!M90+Model!M82-Model!M60))</f>
        <v>0.28509542670213178</v>
      </c>
      <c r="N34" s="76">
        <f>Model!N41*(1-Model!N19)/AVERAGE((Model!M90+Model!M82-Model!M60),(Model!N90+Model!N82-Model!N60))</f>
        <v>0.30270285712267975</v>
      </c>
      <c r="O34" s="76">
        <f>Model!O41*(1-Model!O19)/AVERAGE((Model!N90+Model!N82-Model!N60),(Model!O90+Model!O82-Model!O60))</f>
        <v>0.32001790165198457</v>
      </c>
      <c r="P34" s="76">
        <f>Model!P41*(1-Model!P19)/AVERAGE((Model!O90+Model!O82-Model!O60),(Model!P90+Model!P82-Model!P60))</f>
        <v>0.33701677203871155</v>
      </c>
      <c r="Q34" s="76">
        <f>Model!Q41*(1-Model!Q19)/AVERAGE((Model!P90+Model!P82-Model!P60),(Model!Q90+Model!Q82-Model!Q60))</f>
        <v>0.35367980138376459</v>
      </c>
      <c r="R34" s="76">
        <f>Model!R41*(1-Model!R19)/AVERAGE((Model!Q90+Model!Q82-Model!Q60),(Model!R90+Model!R82-Model!R60))</f>
        <v>0.36999085715200081</v>
      </c>
      <c r="S34" s="76">
        <f>Model!S41*(1-Model!S19)/AVERAGE((Model!R90+Model!R82-Model!R60),(Model!S90+Model!S82-Model!S60))</f>
        <v>0.38593682705428284</v>
      </c>
      <c r="U34" t="s">
        <v>477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4606-6F7F-48CD-AB02-65389D0B1E22}">
  <dimension ref="A2:J47"/>
  <sheetViews>
    <sheetView showGridLines="0" workbookViewId="0">
      <selection activeCell="A20" sqref="A20"/>
    </sheetView>
  </sheetViews>
  <sheetFormatPr defaultRowHeight="14.4" x14ac:dyDescent="0.3"/>
  <cols>
    <col min="2" max="2" width="40.44140625" bestFit="1" customWidth="1"/>
    <col min="4" max="4" width="11.5546875" bestFit="1" customWidth="1"/>
    <col min="5" max="5" width="9.6640625" bestFit="1" customWidth="1"/>
    <col min="6" max="6" width="11.21875" bestFit="1" customWidth="1"/>
    <col min="7" max="7" width="11.6640625" bestFit="1" customWidth="1"/>
    <col min="8" max="8" width="8.109375" bestFit="1" customWidth="1"/>
    <col min="9" max="9" width="11.88671875" bestFit="1" customWidth="1"/>
    <col min="10" max="10" width="14" bestFit="1" customWidth="1"/>
  </cols>
  <sheetData>
    <row r="2" spans="2:10" ht="28.8" x14ac:dyDescent="0.55000000000000004">
      <c r="B2" s="15" t="str">
        <f>Model!B2</f>
        <v>Hindustan Uniliver Ltd</v>
      </c>
      <c r="C2" s="2"/>
      <c r="D2" s="2"/>
      <c r="E2" s="2"/>
      <c r="F2" s="2"/>
      <c r="G2" s="2"/>
      <c r="H2" s="2"/>
      <c r="I2" s="2"/>
      <c r="J2" s="2"/>
    </row>
    <row r="3" spans="2:10" x14ac:dyDescent="0.3">
      <c r="B3" s="16" t="str">
        <f>Model!B3</f>
        <v>HINDUNILVR | 500696</v>
      </c>
      <c r="C3" s="2"/>
      <c r="D3" s="2"/>
      <c r="E3" s="17"/>
      <c r="F3" s="17"/>
      <c r="G3" s="17"/>
      <c r="H3" s="17"/>
      <c r="I3" s="43"/>
      <c r="J3" s="43"/>
    </row>
    <row r="4" spans="2:10" x14ac:dyDescent="0.3">
      <c r="B4" s="16" t="str">
        <f>Model!B4</f>
        <v>Financial Statement &amp; DCF Analysis</v>
      </c>
      <c r="C4" s="2"/>
      <c r="D4" s="2"/>
      <c r="E4" s="18"/>
      <c r="F4" s="18"/>
      <c r="G4" s="18"/>
      <c r="H4" s="18"/>
      <c r="I4" s="44"/>
      <c r="J4" s="44"/>
    </row>
    <row r="6" spans="2:10" x14ac:dyDescent="0.3">
      <c r="B6" s="1" t="s">
        <v>303</v>
      </c>
      <c r="C6" s="1"/>
      <c r="D6" s="1"/>
      <c r="E6" s="1"/>
      <c r="F6" s="1"/>
      <c r="G6" s="1"/>
      <c r="H6" s="1"/>
      <c r="I6" s="1"/>
      <c r="J6" s="1"/>
    </row>
    <row r="8" spans="2:10" x14ac:dyDescent="0.3">
      <c r="B8" s="45" t="s">
        <v>284</v>
      </c>
      <c r="C8" s="46"/>
      <c r="D8" s="45" t="s">
        <v>300</v>
      </c>
      <c r="E8" s="45" t="s">
        <v>304</v>
      </c>
      <c r="F8" s="45" t="s">
        <v>305</v>
      </c>
      <c r="G8" s="45" t="s">
        <v>306</v>
      </c>
      <c r="H8" s="45" t="s">
        <v>280</v>
      </c>
      <c r="I8" s="45" t="s">
        <v>307</v>
      </c>
      <c r="J8" s="45" t="s">
        <v>308</v>
      </c>
    </row>
    <row r="10" spans="2:10" x14ac:dyDescent="0.3">
      <c r="B10" t="str">
        <f>'Comparables Analysis'!B9</f>
        <v>Hind. Unilever</v>
      </c>
      <c r="D10">
        <f>'Comparables Analysis'!F9</f>
        <v>453941.03</v>
      </c>
      <c r="E10">
        <f>'Comparables Analysis'!G9</f>
        <v>1478</v>
      </c>
      <c r="F10" s="36">
        <f>E10/D10</f>
        <v>3.2559295201845927E-3</v>
      </c>
      <c r="G10" s="36">
        <f>E10/(D10+E10)</f>
        <v>3.2453628474857538E-3</v>
      </c>
      <c r="H10" s="65">
        <f>'Company Data'!S8</f>
        <v>0.25</v>
      </c>
      <c r="I10">
        <v>0.32</v>
      </c>
      <c r="J10" s="64">
        <f>I10/(1+F10*(1-H10))</f>
        <v>0.31922048046066548</v>
      </c>
    </row>
    <row r="11" spans="2:10" x14ac:dyDescent="0.3">
      <c r="B11" t="str">
        <f>'Comparables Analysis'!B10</f>
        <v>ITC</v>
      </c>
      <c r="D11">
        <f>'Comparables Analysis'!F10</f>
        <v>328675.46000000002</v>
      </c>
      <c r="E11">
        <f>'Comparables Analysis'!G10</f>
        <v>2399.06</v>
      </c>
      <c r="F11" s="36">
        <f t="shared" ref="F11:F13" si="0">E11/D11</f>
        <v>7.2991759104862886E-3</v>
      </c>
      <c r="G11" s="36">
        <f t="shared" ref="G11:G13" si="1">E11/(D11+E11)</f>
        <v>7.2462840088086504E-3</v>
      </c>
      <c r="H11" s="65">
        <f>'Company Data'!S9</f>
        <v>0.25</v>
      </c>
      <c r="I11">
        <v>-0.24</v>
      </c>
      <c r="J11" s="64">
        <f t="shared" ref="J11" si="2">I11/(1+F11*(1-H11))</f>
        <v>-0.23869330170166855</v>
      </c>
    </row>
    <row r="12" spans="2:10" x14ac:dyDescent="0.3">
      <c r="B12" t="str">
        <f>'Comparables Analysis'!B11</f>
        <v>Hindustan Foods</v>
      </c>
      <c r="D12">
        <f>'Comparables Analysis'!F11</f>
        <v>7581.15</v>
      </c>
      <c r="E12">
        <f>'Comparables Analysis'!G11</f>
        <v>1088.26</v>
      </c>
      <c r="F12" s="36">
        <f t="shared" si="0"/>
        <v>0.14354814243221675</v>
      </c>
      <c r="G12" s="36">
        <f t="shared" si="1"/>
        <v>0.12552872686837974</v>
      </c>
      <c r="H12" s="65">
        <f>'Company Data'!S10</f>
        <v>0.25</v>
      </c>
      <c r="I12">
        <v>0.33</v>
      </c>
      <c r="J12" s="64">
        <f>I12/(1+F12*(1-H12))</f>
        <v>0.29792505845597628</v>
      </c>
    </row>
    <row r="13" spans="2:10" x14ac:dyDescent="0.3">
      <c r="B13" t="str">
        <f>'Comparables Analysis'!B12</f>
        <v>Godavari Bioref.</v>
      </c>
      <c r="D13">
        <f>'Comparables Analysis'!F12</f>
        <v>1233.3900000000001</v>
      </c>
      <c r="E13">
        <f>'Comparables Analysis'!G12</f>
        <v>530.76</v>
      </c>
      <c r="F13" s="36">
        <f t="shared" si="0"/>
        <v>0.43032617420280683</v>
      </c>
      <c r="G13" s="36">
        <f t="shared" si="1"/>
        <v>0.30085877051271148</v>
      </c>
      <c r="H13" s="65">
        <f>'Company Data'!S11</f>
        <v>0.23</v>
      </c>
      <c r="I13">
        <v>0.13</v>
      </c>
      <c r="J13" s="64">
        <f>I13/(1+F13*(1-H13))</f>
        <v>9.7645162657593265E-2</v>
      </c>
    </row>
    <row r="15" spans="2:10" x14ac:dyDescent="0.3">
      <c r="B15" s="77" t="s">
        <v>295</v>
      </c>
      <c r="C15" s="78"/>
      <c r="D15" s="78"/>
      <c r="E15" s="78"/>
      <c r="F15" s="79">
        <f>AVERAGE(F7:F13)</f>
        <v>0.14610735551642362</v>
      </c>
      <c r="G15" s="79">
        <f t="shared" ref="G15:I15" si="3">AVERAGE(G7:G13)</f>
        <v>0.1092197860593464</v>
      </c>
      <c r="H15" s="79">
        <f t="shared" si="3"/>
        <v>0.245</v>
      </c>
      <c r="I15" s="80">
        <f t="shared" si="3"/>
        <v>0.13500000000000001</v>
      </c>
      <c r="J15" s="80">
        <f>AVERAGE(J7:J13)</f>
        <v>0.11902434996814162</v>
      </c>
    </row>
    <row r="16" spans="2:10" x14ac:dyDescent="0.3">
      <c r="B16" s="77" t="s">
        <v>296</v>
      </c>
      <c r="C16" s="78"/>
      <c r="D16" s="78"/>
      <c r="E16" s="78"/>
      <c r="F16" s="79">
        <f>MEDIAN(F7:F13)</f>
        <v>7.542365917135152E-2</v>
      </c>
      <c r="G16" s="79">
        <f t="shared" ref="G16:J16" si="4">MEDIAN(G7:G13)</f>
        <v>6.6387505438594188E-2</v>
      </c>
      <c r="H16" s="79">
        <f t="shared" si="4"/>
        <v>0.25</v>
      </c>
      <c r="I16" s="78">
        <f t="shared" si="4"/>
        <v>0.22500000000000001</v>
      </c>
      <c r="J16" s="80">
        <f t="shared" si="4"/>
        <v>0.19778511055678477</v>
      </c>
    </row>
    <row r="18" spans="2:10" x14ac:dyDescent="0.3">
      <c r="B18" s="78" t="str">
        <f>B10</f>
        <v>Hind. Unilever</v>
      </c>
      <c r="C18" s="78"/>
      <c r="D18" s="78">
        <f t="shared" ref="D18:J18" si="5">D10</f>
        <v>453941.03</v>
      </c>
      <c r="E18" s="78">
        <f t="shared" si="5"/>
        <v>1478</v>
      </c>
      <c r="F18" s="81">
        <f t="shared" si="5"/>
        <v>3.2559295201845927E-3</v>
      </c>
      <c r="G18" s="81">
        <f t="shared" si="5"/>
        <v>3.2453628474857538E-3</v>
      </c>
      <c r="H18" s="82">
        <f t="shared" si="5"/>
        <v>0.25</v>
      </c>
      <c r="I18" s="78">
        <f t="shared" si="5"/>
        <v>0.32</v>
      </c>
      <c r="J18" s="80">
        <f t="shared" si="5"/>
        <v>0.31922048046066548</v>
      </c>
    </row>
    <row r="20" spans="2:10" x14ac:dyDescent="0.3">
      <c r="B20" s="1" t="s">
        <v>309</v>
      </c>
      <c r="C20" s="1"/>
      <c r="D20" s="1"/>
      <c r="E20" s="1"/>
      <c r="F20" s="1"/>
      <c r="G20" s="1"/>
      <c r="H20" s="1"/>
      <c r="I20" s="1"/>
      <c r="J20" s="1"/>
    </row>
    <row r="22" spans="2:10" x14ac:dyDescent="0.3">
      <c r="B22" s="77" t="s">
        <v>310</v>
      </c>
      <c r="C22" s="78"/>
      <c r="D22" s="78"/>
    </row>
    <row r="24" spans="2:10" x14ac:dyDescent="0.3">
      <c r="B24" t="s">
        <v>311</v>
      </c>
      <c r="D24" s="48">
        <f>G15</f>
        <v>0.1092197860593464</v>
      </c>
    </row>
    <row r="25" spans="2:10" x14ac:dyDescent="0.3">
      <c r="B25" t="s">
        <v>312</v>
      </c>
      <c r="D25" s="48">
        <f>1-D24</f>
        <v>0.89078021394065354</v>
      </c>
    </row>
    <row r="27" spans="2:10" x14ac:dyDescent="0.3">
      <c r="B27" s="77" t="s">
        <v>313</v>
      </c>
      <c r="C27" s="78"/>
      <c r="D27" s="78"/>
    </row>
    <row r="29" spans="2:10" x14ac:dyDescent="0.3">
      <c r="B29" t="s">
        <v>314</v>
      </c>
      <c r="D29" s="41">
        <f>D18</f>
        <v>453941.03</v>
      </c>
    </row>
    <row r="30" spans="2:10" x14ac:dyDescent="0.3">
      <c r="B30" t="s">
        <v>304</v>
      </c>
      <c r="D30" s="41">
        <f>E18</f>
        <v>1478</v>
      </c>
    </row>
    <row r="31" spans="2:10" x14ac:dyDescent="0.3">
      <c r="B31" t="s">
        <v>305</v>
      </c>
      <c r="D31" s="35">
        <f>D30/D29</f>
        <v>3.2559295201845927E-3</v>
      </c>
    </row>
    <row r="33" spans="1:4" x14ac:dyDescent="0.3">
      <c r="B33" s="77" t="s">
        <v>315</v>
      </c>
      <c r="C33" s="78"/>
      <c r="D33" s="78"/>
    </row>
    <row r="35" spans="1:4" x14ac:dyDescent="0.3">
      <c r="A35" s="91"/>
      <c r="B35" t="s">
        <v>316</v>
      </c>
      <c r="D35" s="35">
        <v>0.08</v>
      </c>
    </row>
    <row r="36" spans="1:4" x14ac:dyDescent="0.3">
      <c r="A36" s="92"/>
      <c r="B36" t="s">
        <v>280</v>
      </c>
      <c r="D36" s="83">
        <f>Model!J19</f>
        <v>0.24825236442253623</v>
      </c>
    </row>
    <row r="37" spans="1:4" x14ac:dyDescent="0.3">
      <c r="A37" s="92"/>
      <c r="B37" s="8" t="s">
        <v>317</v>
      </c>
      <c r="C37" s="8"/>
      <c r="D37" s="84">
        <f>D35*(1-D36)</f>
        <v>6.01398108461971E-2</v>
      </c>
    </row>
    <row r="38" spans="1:4" x14ac:dyDescent="0.3">
      <c r="A38" s="92"/>
    </row>
    <row r="39" spans="1:4" x14ac:dyDescent="0.3">
      <c r="A39" s="92"/>
      <c r="B39" s="77" t="s">
        <v>318</v>
      </c>
      <c r="C39" s="78"/>
      <c r="D39" s="78"/>
    </row>
    <row r="40" spans="1:4" x14ac:dyDescent="0.3">
      <c r="A40" s="92"/>
    </row>
    <row r="41" spans="1:4" x14ac:dyDescent="0.3">
      <c r="A41" s="92"/>
      <c r="B41" t="s">
        <v>319</v>
      </c>
      <c r="D41" s="48">
        <v>6.7599999999999993E-2</v>
      </c>
    </row>
    <row r="42" spans="1:4" x14ac:dyDescent="0.3">
      <c r="A42" s="92"/>
      <c r="B42" t="s">
        <v>320</v>
      </c>
      <c r="D42" s="83">
        <f>'Index Data'!F10</f>
        <v>0.10036107368287683</v>
      </c>
    </row>
    <row r="43" spans="1:4" x14ac:dyDescent="0.3">
      <c r="A43" s="92"/>
      <c r="B43" t="s">
        <v>321</v>
      </c>
      <c r="D43" s="35">
        <f>D42-D41</f>
        <v>3.276107368287684E-2</v>
      </c>
    </row>
    <row r="44" spans="1:4" x14ac:dyDescent="0.3">
      <c r="A44" s="92"/>
      <c r="B44" t="s">
        <v>322</v>
      </c>
      <c r="D44" s="71">
        <f>J16*(1+D31*(1-D36))</f>
        <v>0.19826921677440856</v>
      </c>
    </row>
    <row r="45" spans="1:4" x14ac:dyDescent="0.3">
      <c r="B45" s="7" t="s">
        <v>318</v>
      </c>
      <c r="C45" s="7"/>
      <c r="D45" s="85">
        <f>D41+(D43*D44)</f>
        <v>7.4095512419792675E-2</v>
      </c>
    </row>
    <row r="47" spans="1:4" x14ac:dyDescent="0.3">
      <c r="B47" s="11" t="s">
        <v>323</v>
      </c>
      <c r="C47" s="11"/>
      <c r="D47" s="86">
        <f>(D37*D24)+(D45*D25)</f>
        <v>7.257127367961648E-2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FEF8-7073-4AB5-800C-B668527846A4}">
  <dimension ref="B2:P59"/>
  <sheetViews>
    <sheetView showGridLines="0" workbookViewId="0">
      <selection activeCell="O14" sqref="O14"/>
    </sheetView>
  </sheetViews>
  <sheetFormatPr defaultRowHeight="14.4" x14ac:dyDescent="0.3"/>
  <sheetData>
    <row r="2" spans="2:10" ht="28.8" x14ac:dyDescent="0.55000000000000004">
      <c r="B2" s="15" t="str">
        <f>Model!B2</f>
        <v>Hindustan Uniliver Ltd</v>
      </c>
      <c r="C2" s="2"/>
      <c r="D2" s="2"/>
      <c r="E2" s="2"/>
      <c r="F2" s="2"/>
      <c r="G2" s="2"/>
      <c r="H2" s="2"/>
      <c r="I2" s="2"/>
      <c r="J2" s="2"/>
    </row>
    <row r="3" spans="2:10" x14ac:dyDescent="0.3">
      <c r="B3" s="16" t="str">
        <f>Model!B3</f>
        <v>HINDUNILVR | 500696</v>
      </c>
      <c r="C3" s="2"/>
      <c r="D3" s="2"/>
      <c r="E3" s="17"/>
      <c r="F3" s="17"/>
      <c r="G3" s="17"/>
      <c r="H3" s="17"/>
      <c r="I3" s="17"/>
      <c r="J3" s="17"/>
    </row>
    <row r="4" spans="2:10" x14ac:dyDescent="0.3">
      <c r="B4" s="16" t="str">
        <f>Model!B4</f>
        <v>Financial Statement &amp; DCF Analysis</v>
      </c>
      <c r="C4" s="2"/>
      <c r="D4" s="2"/>
      <c r="E4" s="18"/>
      <c r="F4" s="18"/>
      <c r="G4" s="18"/>
      <c r="H4" s="18"/>
      <c r="I4" s="18"/>
      <c r="J4" s="18"/>
    </row>
    <row r="6" spans="2:10" x14ac:dyDescent="0.3">
      <c r="B6" s="1"/>
      <c r="C6" s="1" t="s">
        <v>324</v>
      </c>
      <c r="D6" s="1" t="s">
        <v>330</v>
      </c>
      <c r="E6" s="1" t="s">
        <v>331</v>
      </c>
      <c r="F6" s="1" t="s">
        <v>330</v>
      </c>
      <c r="H6" s="33" t="s">
        <v>333</v>
      </c>
      <c r="I6" s="95">
        <f>MAX(E48:E59)</f>
        <v>2467</v>
      </c>
    </row>
    <row r="7" spans="2:10" x14ac:dyDescent="0.3">
      <c r="B7" s="1" t="s">
        <v>325</v>
      </c>
      <c r="C7" s="1" t="s">
        <v>326</v>
      </c>
      <c r="D7" s="1" t="s">
        <v>332</v>
      </c>
      <c r="E7" s="1" t="s">
        <v>326</v>
      </c>
      <c r="F7" s="1" t="s">
        <v>332</v>
      </c>
      <c r="H7" s="33" t="s">
        <v>334</v>
      </c>
      <c r="I7" s="95">
        <f>MIN(E48:E59)</f>
        <v>1934.95</v>
      </c>
    </row>
    <row r="9" spans="2:10" x14ac:dyDescent="0.3">
      <c r="B9" s="93">
        <v>44743</v>
      </c>
      <c r="C9">
        <v>57570.25</v>
      </c>
      <c r="D9" s="36"/>
      <c r="E9">
        <v>2636.85</v>
      </c>
      <c r="H9" s="96" t="s">
        <v>335</v>
      </c>
      <c r="I9" s="97">
        <f>SLOPE(D10:D59,F10:F59)</f>
        <v>0.33326978029230891</v>
      </c>
    </row>
    <row r="10" spans="2:10" x14ac:dyDescent="0.3">
      <c r="B10" s="93">
        <v>44774</v>
      </c>
      <c r="C10">
        <v>59537.07</v>
      </c>
      <c r="D10" s="36">
        <f>C10/C9-1</f>
        <v>3.4163825934401926E-2</v>
      </c>
      <c r="E10">
        <v>2659</v>
      </c>
      <c r="F10" s="36">
        <f>E10/E9-1</f>
        <v>8.4001744505755038E-3</v>
      </c>
    </row>
    <row r="11" spans="2:10" x14ac:dyDescent="0.3">
      <c r="B11" s="93">
        <v>44805</v>
      </c>
      <c r="C11">
        <v>57426.92</v>
      </c>
      <c r="D11" s="36">
        <f t="shared" ref="D11:D59" si="0">C11/C10-1</f>
        <v>-3.5442624233943731E-2</v>
      </c>
      <c r="E11">
        <v>2696.85</v>
      </c>
      <c r="F11" s="36">
        <f t="shared" ref="F11:F59" si="1">E11/E10-1</f>
        <v>1.4234674689733051E-2</v>
      </c>
    </row>
    <row r="12" spans="2:10" x14ac:dyDescent="0.3">
      <c r="B12" s="93">
        <v>44835</v>
      </c>
      <c r="C12">
        <v>60746.59</v>
      </c>
      <c r="D12" s="36">
        <f t="shared" si="0"/>
        <v>5.7806861311733293E-2</v>
      </c>
      <c r="E12">
        <v>2548.0500000000002</v>
      </c>
      <c r="F12" s="36">
        <f t="shared" si="1"/>
        <v>-5.5175482507369589E-2</v>
      </c>
      <c r="H12" t="s">
        <v>336</v>
      </c>
    </row>
    <row r="13" spans="2:10" ht="15" thickBot="1" x14ac:dyDescent="0.35">
      <c r="B13" s="93">
        <v>44866</v>
      </c>
      <c r="C13">
        <v>63099.65</v>
      </c>
      <c r="D13" s="36">
        <f t="shared" si="0"/>
        <v>3.8735672241026364E-2</v>
      </c>
      <c r="E13">
        <v>2680.15</v>
      </c>
      <c r="F13" s="36">
        <f t="shared" si="1"/>
        <v>5.1843566649006023E-2</v>
      </c>
    </row>
    <row r="14" spans="2:10" x14ac:dyDescent="0.3">
      <c r="B14" s="93">
        <v>44896</v>
      </c>
      <c r="C14">
        <v>60840.74</v>
      </c>
      <c r="D14" s="36">
        <f t="shared" si="0"/>
        <v>-3.5799089218403024E-2</v>
      </c>
      <c r="E14">
        <v>2559.75</v>
      </c>
      <c r="F14" s="36">
        <f t="shared" si="1"/>
        <v>-4.4922858795216736E-2</v>
      </c>
      <c r="H14" s="100" t="s">
        <v>337</v>
      </c>
      <c r="I14" s="100"/>
    </row>
    <row r="15" spans="2:10" x14ac:dyDescent="0.3">
      <c r="B15" s="93">
        <v>44927</v>
      </c>
      <c r="C15">
        <v>59549.9</v>
      </c>
      <c r="D15" s="36">
        <f t="shared" si="0"/>
        <v>-2.1216704464804281E-2</v>
      </c>
      <c r="E15">
        <v>2577.6</v>
      </c>
      <c r="F15" s="36">
        <f t="shared" si="1"/>
        <v>6.9733372399647386E-3</v>
      </c>
      <c r="H15" t="s">
        <v>338</v>
      </c>
      <c r="I15">
        <v>0.4913858668517917</v>
      </c>
    </row>
    <row r="16" spans="2:10" x14ac:dyDescent="0.3">
      <c r="B16" s="93">
        <v>44958</v>
      </c>
      <c r="C16">
        <v>58962.12</v>
      </c>
      <c r="D16" s="36">
        <f t="shared" si="0"/>
        <v>-9.8703776160833367E-3</v>
      </c>
      <c r="E16">
        <v>2457.65</v>
      </c>
      <c r="F16" s="36">
        <f t="shared" si="1"/>
        <v>-4.6535536933581589E-2</v>
      </c>
      <c r="H16" t="s">
        <v>339</v>
      </c>
      <c r="I16">
        <v>0.24146007014168674</v>
      </c>
    </row>
    <row r="17" spans="2:16" x14ac:dyDescent="0.3">
      <c r="B17" s="93">
        <v>44986</v>
      </c>
      <c r="C17">
        <v>58991.519999999997</v>
      </c>
      <c r="D17" s="36">
        <f t="shared" si="0"/>
        <v>4.9862521903887291E-4</v>
      </c>
      <c r="E17">
        <v>2558.75</v>
      </c>
      <c r="F17" s="36">
        <f t="shared" si="1"/>
        <v>4.1136858380973695E-2</v>
      </c>
      <c r="H17" t="s">
        <v>340</v>
      </c>
      <c r="I17">
        <v>0.22565715493630523</v>
      </c>
    </row>
    <row r="18" spans="2:16" x14ac:dyDescent="0.3">
      <c r="B18" s="93">
        <v>45017</v>
      </c>
      <c r="C18">
        <v>61112.44</v>
      </c>
      <c r="D18" s="36">
        <f t="shared" si="0"/>
        <v>3.5952964087041739E-2</v>
      </c>
      <c r="E18">
        <v>2454.4</v>
      </c>
      <c r="F18" s="36">
        <f t="shared" si="1"/>
        <v>-4.0781631656082062E-2</v>
      </c>
      <c r="H18" t="s">
        <v>341</v>
      </c>
      <c r="I18">
        <v>3.2978298512129189E-2</v>
      </c>
    </row>
    <row r="19" spans="2:16" ht="15" thickBot="1" x14ac:dyDescent="0.35">
      <c r="B19" s="93">
        <v>45047</v>
      </c>
      <c r="C19">
        <v>62622.239999999998</v>
      </c>
      <c r="D19" s="36">
        <f t="shared" si="0"/>
        <v>2.4705280954254061E-2</v>
      </c>
      <c r="E19">
        <v>2660.75</v>
      </c>
      <c r="F19" s="36">
        <f t="shared" si="1"/>
        <v>8.4073500651890454E-2</v>
      </c>
      <c r="H19" s="98" t="s">
        <v>342</v>
      </c>
      <c r="I19" s="98">
        <v>50</v>
      </c>
    </row>
    <row r="20" spans="2:16" x14ac:dyDescent="0.3">
      <c r="B20" s="93">
        <v>45078</v>
      </c>
      <c r="C20">
        <v>64718.559999999998</v>
      </c>
      <c r="D20" s="36">
        <f t="shared" si="0"/>
        <v>3.3475646990589913E-2</v>
      </c>
      <c r="E20">
        <v>2678.4</v>
      </c>
      <c r="F20" s="36">
        <f t="shared" si="1"/>
        <v>6.6334680071409302E-3</v>
      </c>
    </row>
    <row r="21" spans="2:16" ht="15" thickBot="1" x14ac:dyDescent="0.35">
      <c r="B21" s="93">
        <v>45108</v>
      </c>
      <c r="C21">
        <v>66527.67</v>
      </c>
      <c r="D21" s="36">
        <f t="shared" si="0"/>
        <v>2.7953495875062684E-2</v>
      </c>
      <c r="E21">
        <v>2561.5</v>
      </c>
      <c r="F21" s="36">
        <f t="shared" si="1"/>
        <v>-4.3645459976105139E-2</v>
      </c>
      <c r="H21" t="s">
        <v>343</v>
      </c>
    </row>
    <row r="22" spans="2:16" x14ac:dyDescent="0.3">
      <c r="B22" s="93">
        <v>45139</v>
      </c>
      <c r="C22">
        <v>64831.41</v>
      </c>
      <c r="D22" s="36">
        <f t="shared" si="0"/>
        <v>-2.5497060095445945E-2</v>
      </c>
      <c r="E22">
        <v>2504.1999999999998</v>
      </c>
      <c r="F22" s="36">
        <f t="shared" si="1"/>
        <v>-2.2369705250829708E-2</v>
      </c>
      <c r="H22" s="99"/>
      <c r="I22" s="99" t="s">
        <v>348</v>
      </c>
      <c r="J22" s="99" t="s">
        <v>349</v>
      </c>
      <c r="K22" s="99" t="s">
        <v>350</v>
      </c>
      <c r="L22" s="99" t="s">
        <v>351</v>
      </c>
      <c r="M22" s="99" t="s">
        <v>352</v>
      </c>
    </row>
    <row r="23" spans="2:16" x14ac:dyDescent="0.3">
      <c r="B23" s="93">
        <v>45170</v>
      </c>
      <c r="C23">
        <v>65828.41</v>
      </c>
      <c r="D23" s="36">
        <f t="shared" si="0"/>
        <v>1.5378348242001794E-2</v>
      </c>
      <c r="E23">
        <v>2465.85</v>
      </c>
      <c r="F23" s="36">
        <f t="shared" si="1"/>
        <v>-1.5314272023001285E-2</v>
      </c>
      <c r="H23" t="s">
        <v>344</v>
      </c>
      <c r="I23">
        <v>1</v>
      </c>
      <c r="J23">
        <v>1.6617458479299171E-2</v>
      </c>
      <c r="K23">
        <v>1.6617458479299171E-2</v>
      </c>
      <c r="L23">
        <v>15.279463757386985</v>
      </c>
      <c r="M23">
        <v>2.9045002112502977E-4</v>
      </c>
    </row>
    <row r="24" spans="2:16" x14ac:dyDescent="0.3">
      <c r="B24" s="93">
        <v>45200</v>
      </c>
      <c r="C24">
        <v>63874.93</v>
      </c>
      <c r="D24" s="36">
        <f t="shared" si="0"/>
        <v>-2.9675333188208586E-2</v>
      </c>
      <c r="E24">
        <v>2484</v>
      </c>
      <c r="F24" s="36">
        <f t="shared" si="1"/>
        <v>7.3605450453191335E-3</v>
      </c>
      <c r="H24" t="s">
        <v>345</v>
      </c>
      <c r="I24">
        <v>48</v>
      </c>
      <c r="J24">
        <v>5.2203272292244904E-2</v>
      </c>
      <c r="K24">
        <v>1.0875681727551022E-3</v>
      </c>
    </row>
    <row r="25" spans="2:16" ht="15" thickBot="1" x14ac:dyDescent="0.35">
      <c r="B25" s="93">
        <v>45231</v>
      </c>
      <c r="C25">
        <v>66988.44</v>
      </c>
      <c r="D25" s="36">
        <f t="shared" si="0"/>
        <v>4.8743849895412916E-2</v>
      </c>
      <c r="E25">
        <v>2546.6999999999998</v>
      </c>
      <c r="F25" s="36">
        <f t="shared" si="1"/>
        <v>2.524154589371963E-2</v>
      </c>
      <c r="H25" s="98" t="s">
        <v>346</v>
      </c>
      <c r="I25" s="98">
        <v>49</v>
      </c>
      <c r="J25" s="98">
        <v>6.8820730771544075E-2</v>
      </c>
      <c r="K25" s="98"/>
      <c r="L25" s="98"/>
      <c r="M25" s="98"/>
    </row>
    <row r="26" spans="2:16" ht="15" thickBot="1" x14ac:dyDescent="0.35">
      <c r="B26" s="93">
        <v>45261</v>
      </c>
      <c r="C26">
        <v>72240.259999999995</v>
      </c>
      <c r="D26" s="36">
        <f t="shared" si="0"/>
        <v>7.8398899869887906E-2</v>
      </c>
      <c r="E26">
        <v>2663.35</v>
      </c>
      <c r="F26" s="36">
        <f t="shared" si="1"/>
        <v>4.5804374288294758E-2</v>
      </c>
    </row>
    <row r="27" spans="2:16" x14ac:dyDescent="0.3">
      <c r="B27" s="93">
        <v>45292</v>
      </c>
      <c r="C27">
        <v>71752.11</v>
      </c>
      <c r="D27" s="36">
        <f t="shared" si="0"/>
        <v>-6.7573123352545617E-3</v>
      </c>
      <c r="E27">
        <v>2480.4</v>
      </c>
      <c r="F27" s="36">
        <f t="shared" si="1"/>
        <v>-6.8691685283571391E-2</v>
      </c>
      <c r="H27" s="99"/>
      <c r="I27" s="99" t="s">
        <v>353</v>
      </c>
      <c r="J27" s="99" t="s">
        <v>341</v>
      </c>
      <c r="K27" s="99" t="s">
        <v>354</v>
      </c>
      <c r="L27" s="99" t="s">
        <v>355</v>
      </c>
      <c r="M27" s="99" t="s">
        <v>356</v>
      </c>
      <c r="N27" s="99" t="s">
        <v>357</v>
      </c>
      <c r="O27" s="99" t="s">
        <v>358</v>
      </c>
      <c r="P27" s="99" t="s">
        <v>359</v>
      </c>
    </row>
    <row r="28" spans="2:16" x14ac:dyDescent="0.3">
      <c r="B28" s="93">
        <v>45323</v>
      </c>
      <c r="C28">
        <v>72500.3</v>
      </c>
      <c r="D28" s="36">
        <f t="shared" si="0"/>
        <v>1.0427428545306983E-2</v>
      </c>
      <c r="E28">
        <v>2411.0500000000002</v>
      </c>
      <c r="F28" s="36">
        <f t="shared" si="1"/>
        <v>-2.795920012901143E-2</v>
      </c>
      <c r="H28" t="s">
        <v>347</v>
      </c>
      <c r="I28">
        <v>7.358873805021841E-3</v>
      </c>
      <c r="J28">
        <v>4.6806653946356589E-3</v>
      </c>
      <c r="K28">
        <v>1.5721854019848502</v>
      </c>
      <c r="L28">
        <v>0.12247672886555504</v>
      </c>
      <c r="M28">
        <v>-2.0522347262415547E-3</v>
      </c>
      <c r="N28">
        <v>1.6769982336285238E-2</v>
      </c>
      <c r="O28">
        <v>-2.0522347262415547E-3</v>
      </c>
      <c r="P28">
        <v>1.6769982336285238E-2</v>
      </c>
    </row>
    <row r="29" spans="2:16" ht="15" thickBot="1" x14ac:dyDescent="0.35">
      <c r="B29" s="93">
        <v>45352</v>
      </c>
      <c r="C29">
        <v>73651.350000000006</v>
      </c>
      <c r="D29" s="36">
        <f t="shared" si="0"/>
        <v>1.5876486028333803E-2</v>
      </c>
      <c r="E29">
        <v>2268.25</v>
      </c>
      <c r="F29" s="36">
        <f t="shared" si="1"/>
        <v>-5.9227307604570734E-2</v>
      </c>
      <c r="H29" s="98" t="s">
        <v>360</v>
      </c>
      <c r="I29" s="98">
        <v>0.33326978029230908</v>
      </c>
      <c r="J29" s="98">
        <v>8.5259322809858706E-2</v>
      </c>
      <c r="K29" s="98">
        <v>3.9088954651393553</v>
      </c>
      <c r="L29" s="98">
        <v>2.904500211250256E-4</v>
      </c>
      <c r="M29" s="98">
        <v>0.16184442243930272</v>
      </c>
      <c r="N29" s="98">
        <v>0.50469513814531541</v>
      </c>
      <c r="O29" s="98">
        <v>0.16184442243930272</v>
      </c>
      <c r="P29" s="98">
        <v>0.50469513814531541</v>
      </c>
    </row>
    <row r="30" spans="2:16" x14ac:dyDescent="0.3">
      <c r="B30" s="93">
        <v>45383</v>
      </c>
      <c r="C30">
        <v>74482.78</v>
      </c>
      <c r="D30" s="36">
        <f t="shared" si="0"/>
        <v>1.1288727226316908E-2</v>
      </c>
      <c r="E30">
        <v>2230.6999999999998</v>
      </c>
      <c r="F30" s="36">
        <f t="shared" si="1"/>
        <v>-1.6554612586796025E-2</v>
      </c>
    </row>
    <row r="31" spans="2:16" x14ac:dyDescent="0.3">
      <c r="B31" s="93">
        <v>45413</v>
      </c>
      <c r="C31">
        <v>73961.31</v>
      </c>
      <c r="D31" s="36">
        <f t="shared" si="0"/>
        <v>-7.0012155829843881E-3</v>
      </c>
      <c r="E31">
        <v>2328.6999999999998</v>
      </c>
      <c r="F31" s="36">
        <f t="shared" si="1"/>
        <v>4.3932397902003872E-2</v>
      </c>
    </row>
    <row r="32" spans="2:16" x14ac:dyDescent="0.3">
      <c r="B32" s="93">
        <v>45444</v>
      </c>
      <c r="C32">
        <v>79032.73</v>
      </c>
      <c r="D32" s="36">
        <f t="shared" si="0"/>
        <v>6.8568552936663751E-2</v>
      </c>
      <c r="E32">
        <v>2475.1999999999998</v>
      </c>
      <c r="F32" s="36">
        <f t="shared" si="1"/>
        <v>6.2910636836002842E-2</v>
      </c>
    </row>
    <row r="33" spans="2:6" x14ac:dyDescent="0.3">
      <c r="B33" s="93">
        <v>45474</v>
      </c>
      <c r="C33">
        <v>81741.34</v>
      </c>
      <c r="D33" s="36">
        <f t="shared" si="0"/>
        <v>3.427200351044446E-2</v>
      </c>
      <c r="E33">
        <v>2706.05</v>
      </c>
      <c r="F33" s="36">
        <f t="shared" si="1"/>
        <v>9.3265190691661504E-2</v>
      </c>
    </row>
    <row r="34" spans="2:6" x14ac:dyDescent="0.3">
      <c r="B34" s="93">
        <v>45505</v>
      </c>
      <c r="C34">
        <v>82365.77</v>
      </c>
      <c r="D34" s="36">
        <f t="shared" si="0"/>
        <v>7.6390966920778514E-3</v>
      </c>
      <c r="E34">
        <v>2778.1</v>
      </c>
      <c r="F34" s="36">
        <f t="shared" si="1"/>
        <v>2.6625524288169E-2</v>
      </c>
    </row>
    <row r="35" spans="2:6" x14ac:dyDescent="0.3">
      <c r="B35" s="93">
        <v>45536</v>
      </c>
      <c r="C35">
        <v>84299.78</v>
      </c>
      <c r="D35" s="36">
        <f t="shared" si="0"/>
        <v>2.3480749345268004E-2</v>
      </c>
      <c r="E35">
        <v>2959.4</v>
      </c>
      <c r="F35" s="36">
        <f t="shared" si="1"/>
        <v>6.5260429790144459E-2</v>
      </c>
    </row>
    <row r="36" spans="2:6" x14ac:dyDescent="0.3">
      <c r="B36" s="93">
        <v>45566</v>
      </c>
      <c r="C36">
        <v>79389.06</v>
      </c>
      <c r="D36" s="36">
        <f t="shared" si="0"/>
        <v>-5.8253058311658723E-2</v>
      </c>
      <c r="E36">
        <v>2527.5</v>
      </c>
      <c r="F36" s="36">
        <f t="shared" si="1"/>
        <v>-0.14594174494830037</v>
      </c>
    </row>
    <row r="37" spans="2:6" x14ac:dyDescent="0.3">
      <c r="B37" s="93">
        <v>45597</v>
      </c>
      <c r="C37">
        <v>79802.789999999994</v>
      </c>
      <c r="D37" s="36">
        <f t="shared" si="0"/>
        <v>5.2114233371700625E-3</v>
      </c>
      <c r="E37">
        <v>2496.25</v>
      </c>
      <c r="F37" s="36">
        <f t="shared" si="1"/>
        <v>-1.236399604352123E-2</v>
      </c>
    </row>
    <row r="38" spans="2:6" x14ac:dyDescent="0.3">
      <c r="B38" s="93">
        <v>45627</v>
      </c>
      <c r="C38">
        <v>78139.009999999995</v>
      </c>
      <c r="D38" s="36">
        <f t="shared" si="0"/>
        <v>-2.0848644514809611E-2</v>
      </c>
      <c r="E38">
        <v>2326.75</v>
      </c>
      <c r="F38" s="36">
        <f t="shared" si="1"/>
        <v>-6.7901852779168714E-2</v>
      </c>
    </row>
    <row r="39" spans="2:6" x14ac:dyDescent="0.3">
      <c r="B39" s="93">
        <v>45658</v>
      </c>
      <c r="C39">
        <v>77500.570000000007</v>
      </c>
      <c r="D39" s="36">
        <f t="shared" si="0"/>
        <v>-8.1705667885987321E-3</v>
      </c>
      <c r="E39">
        <v>2471.3000000000002</v>
      </c>
      <c r="F39" s="36">
        <f t="shared" si="1"/>
        <v>6.2125282045772057E-2</v>
      </c>
    </row>
    <row r="40" spans="2:6" x14ac:dyDescent="0.3">
      <c r="B40" s="93">
        <v>45689</v>
      </c>
      <c r="C40">
        <v>73198.100000000006</v>
      </c>
      <c r="D40" s="36">
        <f t="shared" si="0"/>
        <v>-5.5515333629159169E-2</v>
      </c>
      <c r="E40">
        <v>2191.8000000000002</v>
      </c>
      <c r="F40" s="36">
        <f t="shared" si="1"/>
        <v>-0.1130983692793267</v>
      </c>
    </row>
    <row r="41" spans="2:6" x14ac:dyDescent="0.3">
      <c r="B41" s="93">
        <v>45717</v>
      </c>
      <c r="C41">
        <v>77414.92</v>
      </c>
      <c r="D41" s="36">
        <f t="shared" si="0"/>
        <v>5.760832589916931E-2</v>
      </c>
      <c r="E41">
        <v>2259.35</v>
      </c>
      <c r="F41" s="36">
        <f t="shared" si="1"/>
        <v>3.0819417830093787E-2</v>
      </c>
    </row>
    <row r="42" spans="2:6" x14ac:dyDescent="0.3">
      <c r="B42" s="93">
        <v>45748</v>
      </c>
      <c r="C42">
        <v>80242.240000000005</v>
      </c>
      <c r="D42" s="36">
        <f t="shared" si="0"/>
        <v>3.652164208139741E-2</v>
      </c>
      <c r="E42">
        <v>2341.25</v>
      </c>
      <c r="F42" s="36">
        <f t="shared" si="1"/>
        <v>3.6249363755062269E-2</v>
      </c>
    </row>
    <row r="43" spans="2:6" x14ac:dyDescent="0.3">
      <c r="B43" s="93">
        <v>45778</v>
      </c>
      <c r="C43">
        <v>81451.009999999995</v>
      </c>
      <c r="D43" s="36">
        <f t="shared" si="0"/>
        <v>1.5064011174164449E-2</v>
      </c>
      <c r="E43">
        <v>2349.35</v>
      </c>
      <c r="F43" s="36">
        <f t="shared" si="1"/>
        <v>3.4596903363588449E-3</v>
      </c>
    </row>
    <row r="44" spans="2:6" x14ac:dyDescent="0.3">
      <c r="B44" s="93">
        <v>45809</v>
      </c>
      <c r="C44">
        <v>83606.460000000006</v>
      </c>
      <c r="D44" s="36">
        <f t="shared" si="0"/>
        <v>2.6463146374735125E-2</v>
      </c>
      <c r="E44">
        <v>2294.75</v>
      </c>
      <c r="F44" s="36">
        <f t="shared" si="1"/>
        <v>-2.3240470768510435E-2</v>
      </c>
    </row>
    <row r="45" spans="2:6" x14ac:dyDescent="0.3">
      <c r="B45" s="93">
        <v>45839</v>
      </c>
      <c r="C45">
        <v>81185.58</v>
      </c>
      <c r="D45" s="36">
        <f t="shared" si="0"/>
        <v>-2.89556572542361E-2</v>
      </c>
      <c r="E45">
        <v>2521.85</v>
      </c>
      <c r="F45" s="36">
        <f t="shared" si="1"/>
        <v>9.8965028870247274E-2</v>
      </c>
    </row>
    <row r="46" spans="2:6" x14ac:dyDescent="0.3">
      <c r="B46" s="93">
        <v>45870</v>
      </c>
      <c r="C46">
        <v>79809.649999999994</v>
      </c>
      <c r="D46" s="36">
        <f t="shared" si="0"/>
        <v>-1.6947960462929568E-2</v>
      </c>
      <c r="E46">
        <v>2660</v>
      </c>
      <c r="F46" s="36">
        <f t="shared" si="1"/>
        <v>5.4781212205325502E-2</v>
      </c>
    </row>
    <row r="47" spans="2:6" x14ac:dyDescent="0.3">
      <c r="B47" s="93">
        <v>45901</v>
      </c>
      <c r="C47">
        <v>80267.62</v>
      </c>
      <c r="D47" s="36">
        <f t="shared" si="0"/>
        <v>5.7382785164450389E-3</v>
      </c>
      <c r="E47">
        <v>2514.4499999999998</v>
      </c>
      <c r="F47" s="36">
        <f t="shared" si="1"/>
        <v>-5.4718045112781999E-2</v>
      </c>
    </row>
    <row r="48" spans="2:6" x14ac:dyDescent="0.3">
      <c r="B48" s="93">
        <v>45931</v>
      </c>
      <c r="C48">
        <v>83938.71</v>
      </c>
      <c r="D48" s="36">
        <f t="shared" si="0"/>
        <v>4.5735627890798547E-2</v>
      </c>
      <c r="E48">
        <v>2466.65</v>
      </c>
      <c r="F48" s="36">
        <f t="shared" si="1"/>
        <v>-1.9010121497742949E-2</v>
      </c>
    </row>
    <row r="49" spans="2:6" x14ac:dyDescent="0.3">
      <c r="B49" s="93">
        <v>45962</v>
      </c>
      <c r="C49">
        <v>85706.67</v>
      </c>
      <c r="D49" s="36">
        <f t="shared" si="0"/>
        <v>2.1062510967823966E-2</v>
      </c>
      <c r="E49">
        <v>2467</v>
      </c>
      <c r="F49" s="36">
        <f t="shared" si="1"/>
        <v>1.4189285062737866E-4</v>
      </c>
    </row>
    <row r="50" spans="2:6" x14ac:dyDescent="0.3">
      <c r="B50" s="93">
        <v>45992</v>
      </c>
      <c r="C50">
        <v>85220.6</v>
      </c>
      <c r="D50" s="36">
        <f t="shared" si="0"/>
        <v>-5.6713205634986164E-3</v>
      </c>
      <c r="E50">
        <v>2315.3000000000002</v>
      </c>
      <c r="F50" s="36">
        <f t="shared" si="1"/>
        <v>-6.1491690312119873E-2</v>
      </c>
    </row>
    <row r="51" spans="2:6" x14ac:dyDescent="0.3">
      <c r="B51" s="93">
        <v>46023</v>
      </c>
      <c r="C51">
        <v>82269.78</v>
      </c>
      <c r="D51" s="36">
        <f t="shared" si="0"/>
        <v>-3.4625665625447444E-2</v>
      </c>
      <c r="E51">
        <v>2373.65</v>
      </c>
      <c r="F51" s="36">
        <f t="shared" si="1"/>
        <v>2.5201917678054686E-2</v>
      </c>
    </row>
    <row r="52" spans="2:6" x14ac:dyDescent="0.3">
      <c r="B52" s="93">
        <v>46054</v>
      </c>
      <c r="C52">
        <v>81287.19</v>
      </c>
      <c r="D52" s="36">
        <f t="shared" si="0"/>
        <v>-1.1943510727754458E-2</v>
      </c>
      <c r="E52">
        <v>2338.25</v>
      </c>
      <c r="F52" s="36">
        <f t="shared" si="1"/>
        <v>-1.4913740441935497E-2</v>
      </c>
    </row>
    <row r="53" spans="2:6" x14ac:dyDescent="0.3">
      <c r="B53" s="93">
        <v>46082</v>
      </c>
      <c r="C53">
        <v>71947.55</v>
      </c>
      <c r="D53" s="36">
        <f t="shared" si="0"/>
        <v>-0.11489682445659644</v>
      </c>
      <c r="E53">
        <v>2055.8000000000002</v>
      </c>
      <c r="F53" s="36">
        <f t="shared" si="1"/>
        <v>-0.12079546669517793</v>
      </c>
    </row>
    <row r="54" spans="2:6" x14ac:dyDescent="0.3">
      <c r="B54" s="93">
        <v>46113</v>
      </c>
      <c r="C54">
        <v>76913.5</v>
      </c>
      <c r="D54" s="36">
        <f t="shared" si="0"/>
        <v>6.9021808247813787E-2</v>
      </c>
      <c r="E54">
        <v>2250.6</v>
      </c>
      <c r="F54" s="36">
        <f t="shared" si="1"/>
        <v>9.4756299250899678E-2</v>
      </c>
    </row>
    <row r="55" spans="2:6" x14ac:dyDescent="0.3">
      <c r="B55" s="93">
        <v>46143</v>
      </c>
      <c r="C55">
        <v>74775.740000000005</v>
      </c>
      <c r="D55" s="36">
        <f t="shared" si="0"/>
        <v>-2.7794340395379202E-2</v>
      </c>
      <c r="E55">
        <v>2145.9499999999998</v>
      </c>
      <c r="F55" s="36">
        <f t="shared" si="1"/>
        <v>-4.6498711454723174E-2</v>
      </c>
    </row>
    <row r="56" spans="2:6" x14ac:dyDescent="0.3">
      <c r="B56" s="93">
        <v>46174</v>
      </c>
      <c r="C56">
        <v>76478.67</v>
      </c>
      <c r="D56" s="36">
        <f t="shared" si="0"/>
        <v>2.2773830121908478E-2</v>
      </c>
      <c r="E56">
        <v>2118.9</v>
      </c>
      <c r="F56" s="36">
        <f t="shared" si="1"/>
        <v>-1.2605139914723007E-2</v>
      </c>
    </row>
    <row r="57" spans="2:6" x14ac:dyDescent="0.3">
      <c r="B57" s="93">
        <v>46204</v>
      </c>
      <c r="C57">
        <v>78094.64</v>
      </c>
      <c r="D57" s="36">
        <f t="shared" si="0"/>
        <v>2.1129682302268193E-2</v>
      </c>
      <c r="E57">
        <v>2100.8000000000002</v>
      </c>
      <c r="F57" s="36">
        <f t="shared" si="1"/>
        <v>-8.5421681060927623E-3</v>
      </c>
    </row>
    <row r="58" spans="2:6" x14ac:dyDescent="0.3">
      <c r="B58" s="93">
        <v>46235</v>
      </c>
      <c r="C58">
        <v>78499.17</v>
      </c>
      <c r="D58" s="36">
        <f t="shared" si="0"/>
        <v>5.1799969882695418E-3</v>
      </c>
      <c r="E58">
        <v>1995</v>
      </c>
      <c r="F58" s="36">
        <f t="shared" si="1"/>
        <v>-5.0361766945925424E-2</v>
      </c>
    </row>
    <row r="59" spans="2:6" x14ac:dyDescent="0.3">
      <c r="B59" s="93">
        <v>46266</v>
      </c>
      <c r="C59" s="94">
        <v>74294.960000000006</v>
      </c>
      <c r="D59" s="36">
        <f t="shared" si="0"/>
        <v>-5.3557381562123418E-2</v>
      </c>
      <c r="E59">
        <v>1934.95</v>
      </c>
      <c r="F59" s="36">
        <f t="shared" si="1"/>
        <v>-3.0100250626566405E-2</v>
      </c>
    </row>
  </sheetData>
  <pageMargins left="0.7" right="0.7" top="0.75" bottom="0.75" header="0.3" footer="0.3"/>
  <ignoredErrors>
    <ignoredError sqref="I6:I7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6367-B3ED-410E-B172-DDD7F85FD36A}">
  <dimension ref="B2:Q23"/>
  <sheetViews>
    <sheetView showGridLines="0" zoomScale="74" workbookViewId="0">
      <selection activeCell="G23" sqref="G23"/>
    </sheetView>
  </sheetViews>
  <sheetFormatPr defaultRowHeight="14.4" x14ac:dyDescent="0.3"/>
  <cols>
    <col min="2" max="2" width="40.44140625" bestFit="1" customWidth="1"/>
    <col min="5" max="5" width="11.77734375" bestFit="1" customWidth="1"/>
    <col min="6" max="7" width="11" bestFit="1" customWidth="1"/>
    <col min="8" max="8" width="10.77734375" customWidth="1"/>
    <col min="16" max="16" width="9.88671875" bestFit="1" customWidth="1"/>
  </cols>
  <sheetData>
    <row r="2" spans="2:17" ht="28.8" x14ac:dyDescent="0.55000000000000004">
      <c r="B2" s="15" t="str">
        <f>Model!B2</f>
        <v>Hindustan Uniliver Ltd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2:17" x14ac:dyDescent="0.3">
      <c r="B3" s="16" t="str">
        <f>Model!B3</f>
        <v>HINDUNILVR | 500696</v>
      </c>
      <c r="C3" s="2"/>
      <c r="D3" s="2"/>
      <c r="E3" s="17"/>
      <c r="F3" s="17"/>
      <c r="G3" s="17"/>
      <c r="H3" s="17"/>
      <c r="I3" s="43"/>
      <c r="J3" s="43"/>
      <c r="K3" s="43"/>
      <c r="L3" s="43"/>
      <c r="M3" s="43"/>
      <c r="N3" s="43"/>
      <c r="O3" s="43"/>
      <c r="P3" s="43"/>
      <c r="Q3" s="43"/>
    </row>
    <row r="4" spans="2:17" x14ac:dyDescent="0.3">
      <c r="B4" s="16" t="str">
        <f>Model!B4</f>
        <v>Financial Statement &amp; DCF Analysis</v>
      </c>
      <c r="C4" s="2"/>
      <c r="D4" s="2"/>
      <c r="E4" s="18"/>
      <c r="F4" s="18"/>
      <c r="G4" s="18"/>
      <c r="H4" s="18"/>
      <c r="I4" s="44"/>
      <c r="J4" s="44"/>
      <c r="K4" s="44"/>
      <c r="L4" s="44"/>
      <c r="M4" s="44"/>
      <c r="N4" s="44"/>
      <c r="O4" s="44"/>
      <c r="P4" s="44"/>
      <c r="Q4" s="44"/>
    </row>
    <row r="6" spans="2:17" x14ac:dyDescent="0.3">
      <c r="B6" s="1"/>
      <c r="C6" s="2"/>
      <c r="D6" s="160" t="s">
        <v>281</v>
      </c>
      <c r="E6" s="160"/>
      <c r="F6" s="160"/>
      <c r="G6" s="160"/>
      <c r="H6" s="160"/>
      <c r="I6" s="17"/>
      <c r="J6" s="2"/>
      <c r="K6" s="160" t="s">
        <v>282</v>
      </c>
      <c r="L6" s="160"/>
      <c r="M6" s="160"/>
      <c r="N6" s="17"/>
      <c r="O6" s="160" t="s">
        <v>283</v>
      </c>
      <c r="P6" s="160"/>
      <c r="Q6" s="160"/>
    </row>
    <row r="7" spans="2:17" ht="43.2" x14ac:dyDescent="0.3">
      <c r="B7" s="1" t="s">
        <v>284</v>
      </c>
      <c r="C7" s="66" t="s">
        <v>285</v>
      </c>
      <c r="D7" s="67" t="s">
        <v>286</v>
      </c>
      <c r="E7" s="67" t="s">
        <v>287</v>
      </c>
      <c r="F7" s="67" t="s">
        <v>288</v>
      </c>
      <c r="G7" s="67" t="s">
        <v>186</v>
      </c>
      <c r="H7" s="68" t="s">
        <v>289</v>
      </c>
      <c r="I7" s="67" t="s">
        <v>290</v>
      </c>
      <c r="J7" s="67"/>
      <c r="K7" s="67" t="s">
        <v>291</v>
      </c>
      <c r="L7" s="67" t="s">
        <v>273</v>
      </c>
      <c r="M7" s="67" t="s">
        <v>292</v>
      </c>
      <c r="N7" s="67"/>
      <c r="O7" s="67" t="s">
        <v>293</v>
      </c>
      <c r="P7" s="67" t="s">
        <v>294</v>
      </c>
      <c r="Q7" s="69" t="s">
        <v>263</v>
      </c>
    </row>
    <row r="9" spans="2:17" x14ac:dyDescent="0.3">
      <c r="B9" t="s">
        <v>264</v>
      </c>
      <c r="D9">
        <f>'Company Data'!D8</f>
        <v>1932</v>
      </c>
      <c r="E9" s="72">
        <f>'Company Data'!F8</f>
        <v>234.95912525879919</v>
      </c>
      <c r="F9" s="72">
        <f>D9*E9</f>
        <v>453941.03</v>
      </c>
      <c r="G9" s="72">
        <f>'Company Data'!G8</f>
        <v>1478</v>
      </c>
      <c r="H9" s="72">
        <f>'Company Data'!N8</f>
        <v>3248</v>
      </c>
      <c r="I9" s="72">
        <f>F9+G9-H9</f>
        <v>452171.03</v>
      </c>
      <c r="J9" s="72"/>
      <c r="K9" s="72">
        <f>'Company Data'!I8</f>
        <v>66052</v>
      </c>
      <c r="L9" s="72">
        <f>'Company Data'!J8</f>
        <v>15039</v>
      </c>
      <c r="M9" s="72">
        <f>'Company Data'!M8</f>
        <v>11027.55</v>
      </c>
      <c r="N9" s="72"/>
      <c r="O9" s="70">
        <f>I9/K9</f>
        <v>6.8456826439774723</v>
      </c>
      <c r="P9" s="70">
        <f>I9/L9</f>
        <v>30.066562271427625</v>
      </c>
      <c r="Q9" s="70">
        <f>'Company Data'!L8</f>
        <v>41.16</v>
      </c>
    </row>
    <row r="10" spans="2:17" x14ac:dyDescent="0.3">
      <c r="B10" t="s">
        <v>265</v>
      </c>
      <c r="D10">
        <f>'Company Data'!D9</f>
        <v>262.3</v>
      </c>
      <c r="E10" s="72">
        <f>'Company Data'!F9</f>
        <v>1253.0516965306902</v>
      </c>
      <c r="F10" s="72">
        <f t="shared" ref="F10:F12" si="0">D10*E10</f>
        <v>328675.46000000002</v>
      </c>
      <c r="G10" s="72">
        <f>'Company Data'!G9</f>
        <v>2399.06</v>
      </c>
      <c r="H10" s="72">
        <f>'Company Data'!N9</f>
        <v>3008.79</v>
      </c>
      <c r="I10" s="72">
        <f t="shared" ref="I10:I12" si="1">F10+G10-H10</f>
        <v>328065.73000000004</v>
      </c>
      <c r="J10" s="72"/>
      <c r="K10" s="72">
        <f>'Company Data'!I9</f>
        <v>76487.98</v>
      </c>
      <c r="L10" s="72">
        <f>'Company Data'!J9</f>
        <v>27306</v>
      </c>
      <c r="M10" s="72">
        <f>'Company Data'!M9</f>
        <v>19748.27</v>
      </c>
      <c r="N10" s="72"/>
      <c r="O10" s="70">
        <f t="shared" ref="O10:O12" si="2">I10/K10</f>
        <v>4.2891148386975324</v>
      </c>
      <c r="P10" s="70">
        <f t="shared" ref="P10:P12" si="3">I10/L10</f>
        <v>12.014419175272835</v>
      </c>
      <c r="Q10" s="70">
        <f>'Company Data'!L9</f>
        <v>16.64</v>
      </c>
    </row>
    <row r="11" spans="2:17" x14ac:dyDescent="0.3">
      <c r="B11" t="s">
        <v>266</v>
      </c>
      <c r="D11">
        <f>'Company Data'!D10</f>
        <v>625.70000000000005</v>
      </c>
      <c r="E11" s="72">
        <f>'Company Data'!F10</f>
        <v>12.116269777848808</v>
      </c>
      <c r="F11" s="72">
        <f t="shared" si="0"/>
        <v>7581.15</v>
      </c>
      <c r="G11" s="72">
        <f>'Company Data'!G10</f>
        <v>1088.26</v>
      </c>
      <c r="H11" s="72">
        <f>'Company Data'!N10</f>
        <v>51.71</v>
      </c>
      <c r="I11" s="72">
        <f>F11+G11-H11</f>
        <v>8617.7000000000007</v>
      </c>
      <c r="J11" s="72"/>
      <c r="K11" s="72">
        <f>'Company Data'!I10</f>
        <v>4400.1899999999996</v>
      </c>
      <c r="L11" s="72">
        <f>'Company Data'!J10</f>
        <v>363</v>
      </c>
      <c r="M11" s="72">
        <f>'Company Data'!M10</f>
        <v>161.76</v>
      </c>
      <c r="N11" s="72"/>
      <c r="O11" s="70">
        <f t="shared" si="2"/>
        <v>1.9584836109349828</v>
      </c>
      <c r="P11" s="70">
        <f t="shared" si="3"/>
        <v>23.740220385674935</v>
      </c>
      <c r="Q11" s="70">
        <f>'Company Data'!L10</f>
        <v>46.87</v>
      </c>
    </row>
    <row r="12" spans="2:17" x14ac:dyDescent="0.3">
      <c r="B12" t="s">
        <v>267</v>
      </c>
      <c r="D12">
        <f>'Company Data'!D11</f>
        <v>241.01</v>
      </c>
      <c r="E12" s="72">
        <f>'Company Data'!F11</f>
        <v>5.1175884818057344</v>
      </c>
      <c r="F12" s="72">
        <f t="shared" si="0"/>
        <v>1233.3900000000001</v>
      </c>
      <c r="G12" s="72">
        <f>'Company Data'!G11</f>
        <v>530.76</v>
      </c>
      <c r="H12" s="72">
        <f>'Company Data'!N11</f>
        <v>32.15</v>
      </c>
      <c r="I12" s="72">
        <f t="shared" si="1"/>
        <v>1732</v>
      </c>
      <c r="J12" s="72"/>
      <c r="K12" s="72">
        <f>'Company Data'!I11</f>
        <v>2012.58</v>
      </c>
      <c r="L12" s="72">
        <f>'Company Data'!J11</f>
        <v>127</v>
      </c>
      <c r="M12" s="72">
        <f>'Company Data'!M11</f>
        <v>29.01</v>
      </c>
      <c r="N12" s="72"/>
      <c r="O12" s="70">
        <f t="shared" si="2"/>
        <v>0.86058690834650053</v>
      </c>
      <c r="P12" s="70">
        <f t="shared" si="3"/>
        <v>13.637795275590552</v>
      </c>
      <c r="Q12" s="70">
        <f>'Company Data'!L11</f>
        <v>42.52</v>
      </c>
    </row>
    <row r="14" spans="2:17" x14ac:dyDescent="0.3">
      <c r="B14" s="1" t="s">
        <v>295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73">
        <f>AVERAGE(O9:O12)</f>
        <v>3.4884670004891221</v>
      </c>
      <c r="P14" s="73">
        <f t="shared" ref="P14:Q14" si="4">AVERAGE(P9:P12)</f>
        <v>19.864749276991486</v>
      </c>
      <c r="Q14" s="73">
        <f t="shared" si="4"/>
        <v>36.797499999999999</v>
      </c>
    </row>
    <row r="15" spans="2:17" x14ac:dyDescent="0.3">
      <c r="B15" s="1" t="s">
        <v>296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73">
        <f>MEDIAN(O9:O12)</f>
        <v>3.1237992248162576</v>
      </c>
      <c r="P15" s="73">
        <f t="shared" ref="P15:Q15" si="5">MEDIAN(P9:P12)</f>
        <v>18.689007830632743</v>
      </c>
      <c r="Q15" s="73">
        <f t="shared" si="5"/>
        <v>41.84</v>
      </c>
    </row>
    <row r="17" spans="2:17" x14ac:dyDescent="0.3">
      <c r="B17" t="str">
        <f>B9</f>
        <v>Hind. Unilever</v>
      </c>
      <c r="D17" s="38">
        <f t="shared" ref="D17:Q17" si="6">D9</f>
        <v>1932</v>
      </c>
      <c r="E17" s="38">
        <f t="shared" si="6"/>
        <v>234.95912525879919</v>
      </c>
      <c r="F17" s="38">
        <f t="shared" si="6"/>
        <v>453941.03</v>
      </c>
      <c r="G17" s="38">
        <f>G9</f>
        <v>1478</v>
      </c>
      <c r="H17" s="38">
        <f t="shared" si="6"/>
        <v>3248</v>
      </c>
      <c r="I17" s="38">
        <f t="shared" si="6"/>
        <v>452171.03</v>
      </c>
      <c r="J17" s="38"/>
      <c r="K17">
        <f t="shared" si="6"/>
        <v>66052</v>
      </c>
      <c r="L17">
        <f t="shared" si="6"/>
        <v>15039</v>
      </c>
      <c r="M17" s="38">
        <f t="shared" si="6"/>
        <v>11027.55</v>
      </c>
      <c r="O17" s="70">
        <f t="shared" si="6"/>
        <v>6.8456826439774723</v>
      </c>
      <c r="P17" s="70">
        <f t="shared" si="6"/>
        <v>30.066562271427625</v>
      </c>
      <c r="Q17" s="70">
        <f t="shared" si="6"/>
        <v>41.16</v>
      </c>
    </row>
    <row r="19" spans="2:17" x14ac:dyDescent="0.3">
      <c r="B19" s="1" t="s">
        <v>297</v>
      </c>
      <c r="C19" s="2"/>
      <c r="D19" s="2" t="s">
        <v>298</v>
      </c>
      <c r="E19" s="2" t="s">
        <v>290</v>
      </c>
      <c r="F19" s="2" t="s">
        <v>299</v>
      </c>
      <c r="G19" s="2" t="s">
        <v>300</v>
      </c>
      <c r="H19" s="43" t="s">
        <v>301</v>
      </c>
      <c r="I19" s="2" t="s">
        <v>302</v>
      </c>
      <c r="J19" s="2"/>
      <c r="K19" s="2"/>
      <c r="L19" s="2"/>
      <c r="M19" s="2"/>
      <c r="N19" s="2"/>
      <c r="O19" s="2"/>
      <c r="P19" s="2"/>
      <c r="Q19" s="2"/>
    </row>
    <row r="21" spans="2:17" x14ac:dyDescent="0.3">
      <c r="B21" t="s">
        <v>293</v>
      </c>
      <c r="D21" s="74">
        <f>O14</f>
        <v>3.4884670004891221</v>
      </c>
      <c r="E21" s="30">
        <f>D21*K17</f>
        <v>230420.22231630748</v>
      </c>
      <c r="F21" s="41">
        <f>$G$17-$H$17</f>
        <v>-1770</v>
      </c>
      <c r="G21" s="41">
        <f>E21+F21</f>
        <v>228650.22231630748</v>
      </c>
      <c r="H21" s="75">
        <f>E17</f>
        <v>234.95912525879919</v>
      </c>
      <c r="I21" s="72">
        <f>G21/H21</f>
        <v>973.14893415804693</v>
      </c>
    </row>
    <row r="22" spans="2:17" x14ac:dyDescent="0.3">
      <c r="B22" t="s">
        <v>294</v>
      </c>
      <c r="D22" s="74">
        <f>P15</f>
        <v>18.689007830632743</v>
      </c>
      <c r="E22" s="30">
        <f>D22*L17</f>
        <v>281063.98876488581</v>
      </c>
      <c r="F22" s="41">
        <f t="shared" ref="F22" si="7">$G$17-$H$17</f>
        <v>-1770</v>
      </c>
      <c r="G22" s="41">
        <f>E22+F22</f>
        <v>279293.98876488581</v>
      </c>
      <c r="H22" s="75">
        <f>H21</f>
        <v>234.95912525879919</v>
      </c>
      <c r="I22" s="72">
        <f t="shared" ref="I22:I23" si="8">G22/H22</f>
        <v>1188.6918137665575</v>
      </c>
    </row>
    <row r="23" spans="2:17" x14ac:dyDescent="0.3">
      <c r="B23" t="s">
        <v>263</v>
      </c>
      <c r="D23" s="74">
        <f>Q14</f>
        <v>36.797499999999999</v>
      </c>
      <c r="E23" s="30">
        <f>G23+F23</f>
        <v>404016.27112499997</v>
      </c>
      <c r="F23" s="41">
        <f>$G$17-$H$17</f>
        <v>-1770</v>
      </c>
      <c r="G23" s="30">
        <f>D23*M17</f>
        <v>405786.27112499997</v>
      </c>
      <c r="H23" s="75">
        <f>H22</f>
        <v>234.95912525879919</v>
      </c>
      <c r="I23" s="72">
        <f t="shared" si="8"/>
        <v>1727.0504845387072</v>
      </c>
    </row>
  </sheetData>
  <mergeCells count="3">
    <mergeCell ref="D6:H6"/>
    <mergeCell ref="K6:M6"/>
    <mergeCell ref="O6:Q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C06C-069D-4EAD-BDB0-A6450FA7AD82}">
  <dimension ref="B2:G2514"/>
  <sheetViews>
    <sheetView showGridLines="0" workbookViewId="0"/>
  </sheetViews>
  <sheetFormatPr defaultRowHeight="14.4" x14ac:dyDescent="0.3"/>
  <cols>
    <col min="2" max="2" width="14.77734375" customWidth="1"/>
    <col min="3" max="3" width="10" bestFit="1" customWidth="1"/>
    <col min="5" max="5" width="13.33203125" bestFit="1" customWidth="1"/>
  </cols>
  <sheetData>
    <row r="2" spans="2:7" ht="28.8" x14ac:dyDescent="0.55000000000000004">
      <c r="B2" s="15" t="str">
        <f>Model!B2</f>
        <v>Hindustan Uniliver Ltd</v>
      </c>
      <c r="C2" s="2"/>
      <c r="D2" s="2"/>
      <c r="E2" s="2"/>
      <c r="F2" s="2"/>
      <c r="G2" s="2"/>
    </row>
    <row r="3" spans="2:7" x14ac:dyDescent="0.3">
      <c r="B3" s="16" t="str">
        <f>Model!B3</f>
        <v>HINDUNILVR | 500696</v>
      </c>
      <c r="C3" s="2"/>
      <c r="D3" s="2"/>
      <c r="E3" s="17"/>
      <c r="F3" s="17"/>
      <c r="G3" s="17"/>
    </row>
    <row r="4" spans="2:7" x14ac:dyDescent="0.3">
      <c r="B4" s="16" t="str">
        <f>Model!B4</f>
        <v>Financial Statement &amp; DCF Analysis</v>
      </c>
      <c r="C4" s="2"/>
      <c r="D4" s="2"/>
      <c r="E4" s="18"/>
      <c r="F4" s="18"/>
      <c r="G4" s="18"/>
    </row>
    <row r="6" spans="2:7" x14ac:dyDescent="0.3">
      <c r="B6" s="1"/>
      <c r="C6" s="1" t="s">
        <v>324</v>
      </c>
      <c r="E6" s="4" t="s">
        <v>327</v>
      </c>
    </row>
    <row r="7" spans="2:7" x14ac:dyDescent="0.3">
      <c r="B7" s="1" t="s">
        <v>325</v>
      </c>
      <c r="C7" s="1" t="s">
        <v>326</v>
      </c>
    </row>
    <row r="8" spans="2:7" x14ac:dyDescent="0.3">
      <c r="E8" s="4" t="s">
        <v>328</v>
      </c>
      <c r="F8" s="88">
        <f>YEARFRAC(B9,B2495)</f>
        <v>10.033333333333333</v>
      </c>
    </row>
    <row r="9" spans="2:7" x14ac:dyDescent="0.3">
      <c r="B9" s="87">
        <v>46283</v>
      </c>
      <c r="C9">
        <v>23346.400000000001</v>
      </c>
      <c r="E9" s="4"/>
      <c r="F9" s="89"/>
    </row>
    <row r="10" spans="2:7" x14ac:dyDescent="0.3">
      <c r="B10" s="87">
        <v>46282</v>
      </c>
      <c r="C10">
        <v>23270.6</v>
      </c>
      <c r="E10" s="4" t="s">
        <v>329</v>
      </c>
      <c r="F10" s="90">
        <f>_xlfn.RRI(F8,C2495,C9)</f>
        <v>0.10036107368287683</v>
      </c>
    </row>
    <row r="11" spans="2:7" x14ac:dyDescent="0.3">
      <c r="B11" s="87">
        <v>46281</v>
      </c>
      <c r="C11">
        <v>23217.599999999999</v>
      </c>
    </row>
    <row r="12" spans="2:7" x14ac:dyDescent="0.3">
      <c r="B12" s="87">
        <v>46280</v>
      </c>
      <c r="C12">
        <v>23118.6</v>
      </c>
    </row>
    <row r="13" spans="2:7" x14ac:dyDescent="0.3">
      <c r="B13" s="87">
        <v>46276</v>
      </c>
      <c r="C13">
        <v>23398.1</v>
      </c>
    </row>
    <row r="14" spans="2:7" x14ac:dyDescent="0.3">
      <c r="B14" s="87">
        <v>46275</v>
      </c>
      <c r="C14">
        <v>23477.8</v>
      </c>
    </row>
    <row r="15" spans="2:7" x14ac:dyDescent="0.3">
      <c r="B15" s="87">
        <v>46274</v>
      </c>
      <c r="C15">
        <v>23431.5</v>
      </c>
    </row>
    <row r="16" spans="2:7" x14ac:dyDescent="0.3">
      <c r="B16" s="87">
        <v>46273</v>
      </c>
      <c r="C16">
        <v>23635.1</v>
      </c>
    </row>
    <row r="17" spans="2:3" x14ac:dyDescent="0.3">
      <c r="B17" s="87">
        <v>46272</v>
      </c>
      <c r="C17">
        <v>23779.15</v>
      </c>
    </row>
    <row r="18" spans="2:3" x14ac:dyDescent="0.3">
      <c r="B18" s="87">
        <v>46269</v>
      </c>
      <c r="C18">
        <v>23897.7</v>
      </c>
    </row>
    <row r="19" spans="2:3" x14ac:dyDescent="0.3">
      <c r="B19" s="87">
        <v>46268</v>
      </c>
      <c r="C19">
        <v>23873.45</v>
      </c>
    </row>
    <row r="20" spans="2:3" x14ac:dyDescent="0.3">
      <c r="B20" s="87">
        <v>46267</v>
      </c>
      <c r="C20">
        <v>23914.45</v>
      </c>
    </row>
    <row r="21" spans="2:3" x14ac:dyDescent="0.3">
      <c r="B21" s="87">
        <v>46266</v>
      </c>
      <c r="C21">
        <v>24055.8</v>
      </c>
    </row>
    <row r="22" spans="2:3" x14ac:dyDescent="0.3">
      <c r="B22" s="87">
        <v>46265</v>
      </c>
      <c r="C22">
        <v>24080.400000000001</v>
      </c>
    </row>
    <row r="23" spans="2:3" x14ac:dyDescent="0.3">
      <c r="B23" s="87">
        <v>46262</v>
      </c>
      <c r="C23">
        <v>24175.65</v>
      </c>
    </row>
    <row r="24" spans="2:3" x14ac:dyDescent="0.3">
      <c r="B24" s="87">
        <v>46261</v>
      </c>
      <c r="C24">
        <v>24090.85</v>
      </c>
    </row>
    <row r="25" spans="2:3" x14ac:dyDescent="0.3">
      <c r="B25" s="87">
        <v>46260</v>
      </c>
      <c r="C25">
        <v>24207.75</v>
      </c>
    </row>
    <row r="26" spans="2:3" x14ac:dyDescent="0.3">
      <c r="B26" s="87">
        <v>46259</v>
      </c>
      <c r="C26">
        <v>24334.55</v>
      </c>
    </row>
    <row r="27" spans="2:3" x14ac:dyDescent="0.3">
      <c r="B27" s="87">
        <v>46258</v>
      </c>
      <c r="C27">
        <v>24219.05</v>
      </c>
    </row>
    <row r="28" spans="2:3" x14ac:dyDescent="0.3">
      <c r="B28" s="87">
        <v>46255</v>
      </c>
      <c r="C28">
        <v>24252</v>
      </c>
    </row>
    <row r="29" spans="2:3" x14ac:dyDescent="0.3">
      <c r="B29" s="87">
        <v>46254</v>
      </c>
      <c r="C29">
        <v>24231.85</v>
      </c>
    </row>
    <row r="30" spans="2:3" x14ac:dyDescent="0.3">
      <c r="B30" s="87">
        <v>46253</v>
      </c>
      <c r="C30">
        <v>24078.3</v>
      </c>
    </row>
    <row r="31" spans="2:3" x14ac:dyDescent="0.3">
      <c r="B31" s="87">
        <v>46252</v>
      </c>
      <c r="C31">
        <v>24154.9</v>
      </c>
    </row>
    <row r="32" spans="2:3" x14ac:dyDescent="0.3">
      <c r="B32" s="87">
        <v>46251</v>
      </c>
      <c r="C32">
        <v>24287.65</v>
      </c>
    </row>
    <row r="33" spans="2:3" x14ac:dyDescent="0.3">
      <c r="B33" s="87">
        <v>46248</v>
      </c>
      <c r="C33">
        <v>24366</v>
      </c>
    </row>
    <row r="34" spans="2:3" x14ac:dyDescent="0.3">
      <c r="B34" s="87">
        <v>46247</v>
      </c>
      <c r="C34">
        <v>24395.85</v>
      </c>
    </row>
    <row r="35" spans="2:3" x14ac:dyDescent="0.3">
      <c r="B35" s="87">
        <v>46246</v>
      </c>
      <c r="C35">
        <v>24435.95</v>
      </c>
    </row>
    <row r="36" spans="2:3" x14ac:dyDescent="0.3">
      <c r="B36" s="87">
        <v>46245</v>
      </c>
      <c r="C36">
        <v>24471.7</v>
      </c>
    </row>
    <row r="37" spans="2:3" x14ac:dyDescent="0.3">
      <c r="B37" s="87">
        <v>46244</v>
      </c>
      <c r="C37">
        <v>24583.8</v>
      </c>
    </row>
    <row r="38" spans="2:3" x14ac:dyDescent="0.3">
      <c r="B38" s="87">
        <v>46241</v>
      </c>
      <c r="C38">
        <v>24570.65</v>
      </c>
    </row>
    <row r="39" spans="2:3" x14ac:dyDescent="0.3">
      <c r="B39" s="87">
        <v>46240</v>
      </c>
      <c r="C39">
        <v>24636</v>
      </c>
    </row>
    <row r="40" spans="2:3" x14ac:dyDescent="0.3">
      <c r="B40" s="87">
        <v>46239</v>
      </c>
      <c r="C40">
        <v>24624.65</v>
      </c>
    </row>
    <row r="41" spans="2:3" x14ac:dyDescent="0.3">
      <c r="B41" s="87">
        <v>46238</v>
      </c>
      <c r="C41">
        <v>24614.9</v>
      </c>
    </row>
    <row r="42" spans="2:3" x14ac:dyDescent="0.3">
      <c r="B42" s="87">
        <v>46237</v>
      </c>
      <c r="C42">
        <v>24774.3</v>
      </c>
    </row>
    <row r="43" spans="2:3" x14ac:dyDescent="0.3">
      <c r="B43" s="87">
        <v>46234</v>
      </c>
      <c r="C43">
        <v>24383.599999999999</v>
      </c>
    </row>
    <row r="44" spans="2:3" x14ac:dyDescent="0.3">
      <c r="B44" s="87">
        <v>46233</v>
      </c>
      <c r="C44">
        <v>24317.15</v>
      </c>
    </row>
    <row r="45" spans="2:3" x14ac:dyDescent="0.3">
      <c r="B45" s="87">
        <v>46232</v>
      </c>
      <c r="C45">
        <v>24250.2</v>
      </c>
    </row>
    <row r="46" spans="2:3" x14ac:dyDescent="0.3">
      <c r="B46" s="87">
        <v>46231</v>
      </c>
      <c r="C46">
        <v>23985.35</v>
      </c>
    </row>
    <row r="47" spans="2:3" x14ac:dyDescent="0.3">
      <c r="B47" s="87">
        <v>46230</v>
      </c>
      <c r="C47">
        <v>23995.95</v>
      </c>
    </row>
    <row r="48" spans="2:3" x14ac:dyDescent="0.3">
      <c r="B48" s="87">
        <v>46227</v>
      </c>
      <c r="C48">
        <v>23767.45</v>
      </c>
    </row>
    <row r="49" spans="2:3" x14ac:dyDescent="0.3">
      <c r="B49" s="87">
        <v>46226</v>
      </c>
      <c r="C49">
        <v>23869.599999999999</v>
      </c>
    </row>
    <row r="50" spans="2:3" x14ac:dyDescent="0.3">
      <c r="B50" s="87">
        <v>46225</v>
      </c>
      <c r="C50">
        <v>23996.25</v>
      </c>
    </row>
    <row r="51" spans="2:3" x14ac:dyDescent="0.3">
      <c r="B51" s="87">
        <v>46224</v>
      </c>
      <c r="C51">
        <v>24187.7</v>
      </c>
    </row>
    <row r="52" spans="2:3" x14ac:dyDescent="0.3">
      <c r="B52" s="87">
        <v>46223</v>
      </c>
      <c r="C52">
        <v>24238.5</v>
      </c>
    </row>
    <row r="53" spans="2:3" x14ac:dyDescent="0.3">
      <c r="B53" s="87">
        <v>46220</v>
      </c>
      <c r="C53">
        <v>24334.3</v>
      </c>
    </row>
    <row r="54" spans="2:3" x14ac:dyDescent="0.3">
      <c r="B54" s="87">
        <v>46219</v>
      </c>
      <c r="C54">
        <v>24072.75</v>
      </c>
    </row>
    <row r="55" spans="2:3" x14ac:dyDescent="0.3">
      <c r="B55" s="87">
        <v>46218</v>
      </c>
      <c r="C55">
        <v>24078.5</v>
      </c>
    </row>
    <row r="56" spans="2:3" x14ac:dyDescent="0.3">
      <c r="B56" s="87">
        <v>46217</v>
      </c>
      <c r="C56">
        <v>24052.05</v>
      </c>
    </row>
    <row r="57" spans="2:3" x14ac:dyDescent="0.3">
      <c r="B57" s="87">
        <v>46216</v>
      </c>
      <c r="C57">
        <v>24211</v>
      </c>
    </row>
    <row r="58" spans="2:3" x14ac:dyDescent="0.3">
      <c r="B58" s="87">
        <v>46213</v>
      </c>
      <c r="C58">
        <v>24206.9</v>
      </c>
    </row>
    <row r="59" spans="2:3" x14ac:dyDescent="0.3">
      <c r="B59" s="87">
        <v>46212</v>
      </c>
      <c r="C59">
        <v>23962.799999999999</v>
      </c>
    </row>
    <row r="60" spans="2:3" x14ac:dyDescent="0.3">
      <c r="B60" s="87">
        <v>46211</v>
      </c>
      <c r="C60">
        <v>23882.05</v>
      </c>
    </row>
    <row r="61" spans="2:3" x14ac:dyDescent="0.3">
      <c r="B61" s="87">
        <v>46210</v>
      </c>
      <c r="C61">
        <v>24398.7</v>
      </c>
    </row>
    <row r="62" spans="2:3" x14ac:dyDescent="0.3">
      <c r="B62" s="87">
        <v>46209</v>
      </c>
      <c r="C62">
        <v>24430.35</v>
      </c>
    </row>
    <row r="63" spans="2:3" x14ac:dyDescent="0.3">
      <c r="B63" s="87">
        <v>46206</v>
      </c>
      <c r="C63">
        <v>24270.85</v>
      </c>
    </row>
    <row r="64" spans="2:3" x14ac:dyDescent="0.3">
      <c r="B64" s="87">
        <v>46205</v>
      </c>
      <c r="C64">
        <v>24175.7</v>
      </c>
    </row>
    <row r="65" spans="2:3" x14ac:dyDescent="0.3">
      <c r="B65" s="87">
        <v>46204</v>
      </c>
      <c r="C65">
        <v>24005.85</v>
      </c>
    </row>
    <row r="66" spans="2:3" x14ac:dyDescent="0.3">
      <c r="B66" s="87">
        <v>46203</v>
      </c>
      <c r="C66">
        <v>23865.75</v>
      </c>
    </row>
    <row r="67" spans="2:3" x14ac:dyDescent="0.3">
      <c r="B67" s="87">
        <v>46202</v>
      </c>
      <c r="C67">
        <v>23946.25</v>
      </c>
    </row>
    <row r="68" spans="2:3" x14ac:dyDescent="0.3">
      <c r="B68" s="87">
        <v>46198</v>
      </c>
      <c r="C68">
        <v>24056</v>
      </c>
    </row>
    <row r="69" spans="2:3" x14ac:dyDescent="0.3">
      <c r="B69" s="87">
        <v>46197</v>
      </c>
      <c r="C69">
        <v>24021.65</v>
      </c>
    </row>
    <row r="70" spans="2:3" x14ac:dyDescent="0.3">
      <c r="B70" s="87">
        <v>46196</v>
      </c>
      <c r="C70">
        <v>23824.1</v>
      </c>
    </row>
    <row r="71" spans="2:3" x14ac:dyDescent="0.3">
      <c r="B71" s="87">
        <v>46195</v>
      </c>
      <c r="C71">
        <v>24102.9</v>
      </c>
    </row>
    <row r="72" spans="2:3" x14ac:dyDescent="0.3">
      <c r="B72" s="87">
        <v>46192</v>
      </c>
      <c r="C72">
        <v>24013.1</v>
      </c>
    </row>
    <row r="73" spans="2:3" x14ac:dyDescent="0.3">
      <c r="B73" s="87">
        <v>46191</v>
      </c>
      <c r="C73">
        <v>24168</v>
      </c>
    </row>
    <row r="74" spans="2:3" x14ac:dyDescent="0.3">
      <c r="B74" s="87">
        <v>46190</v>
      </c>
      <c r="C74">
        <v>24085.7</v>
      </c>
    </row>
    <row r="75" spans="2:3" x14ac:dyDescent="0.3">
      <c r="B75" s="87">
        <v>46189</v>
      </c>
      <c r="C75">
        <v>23989.15</v>
      </c>
    </row>
    <row r="76" spans="2:3" x14ac:dyDescent="0.3">
      <c r="B76" s="87">
        <v>46188</v>
      </c>
      <c r="C76">
        <v>23853.9</v>
      </c>
    </row>
    <row r="77" spans="2:3" x14ac:dyDescent="0.3">
      <c r="B77" s="87">
        <v>46185</v>
      </c>
      <c r="C77">
        <v>23622.9</v>
      </c>
    </row>
    <row r="78" spans="2:3" x14ac:dyDescent="0.3">
      <c r="B78" s="87">
        <v>46184</v>
      </c>
      <c r="C78">
        <v>23161.599999999999</v>
      </c>
    </row>
    <row r="79" spans="2:3" x14ac:dyDescent="0.3">
      <c r="B79" s="87">
        <v>46183</v>
      </c>
      <c r="C79">
        <v>23214.95</v>
      </c>
    </row>
    <row r="80" spans="2:3" x14ac:dyDescent="0.3">
      <c r="B80" s="87">
        <v>46182</v>
      </c>
      <c r="C80">
        <v>23242.1</v>
      </c>
    </row>
    <row r="81" spans="2:3" x14ac:dyDescent="0.3">
      <c r="B81" s="87">
        <v>46181</v>
      </c>
      <c r="C81">
        <v>23123</v>
      </c>
    </row>
    <row r="82" spans="2:3" x14ac:dyDescent="0.3">
      <c r="B82" s="87">
        <v>46178</v>
      </c>
      <c r="C82">
        <v>23366.7</v>
      </c>
    </row>
    <row r="83" spans="2:3" x14ac:dyDescent="0.3">
      <c r="B83" s="87">
        <v>46177</v>
      </c>
      <c r="C83">
        <v>23416.55</v>
      </c>
    </row>
    <row r="84" spans="2:3" x14ac:dyDescent="0.3">
      <c r="B84" s="87">
        <v>46176</v>
      </c>
      <c r="C84">
        <v>23405.599999999999</v>
      </c>
    </row>
    <row r="85" spans="2:3" x14ac:dyDescent="0.3">
      <c r="B85" s="87">
        <v>46175</v>
      </c>
      <c r="C85">
        <v>23483.55</v>
      </c>
    </row>
    <row r="86" spans="2:3" x14ac:dyDescent="0.3">
      <c r="B86" s="87">
        <v>46174</v>
      </c>
      <c r="C86">
        <v>23382.6</v>
      </c>
    </row>
    <row r="87" spans="2:3" x14ac:dyDescent="0.3">
      <c r="B87" s="87">
        <v>46171</v>
      </c>
      <c r="C87">
        <v>23547.75</v>
      </c>
    </row>
    <row r="88" spans="2:3" x14ac:dyDescent="0.3">
      <c r="B88" s="87">
        <v>46169</v>
      </c>
      <c r="C88">
        <v>23907.15</v>
      </c>
    </row>
    <row r="89" spans="2:3" x14ac:dyDescent="0.3">
      <c r="B89" s="87">
        <v>46168</v>
      </c>
      <c r="C89">
        <v>23913.7</v>
      </c>
    </row>
    <row r="90" spans="2:3" x14ac:dyDescent="0.3">
      <c r="B90" s="87">
        <v>46167</v>
      </c>
      <c r="C90">
        <v>24031.7</v>
      </c>
    </row>
    <row r="91" spans="2:3" x14ac:dyDescent="0.3">
      <c r="B91" s="87">
        <v>46164</v>
      </c>
      <c r="C91">
        <v>23719.3</v>
      </c>
    </row>
    <row r="92" spans="2:3" x14ac:dyDescent="0.3">
      <c r="B92" s="87">
        <v>46163</v>
      </c>
      <c r="C92">
        <v>23654.7</v>
      </c>
    </row>
    <row r="93" spans="2:3" x14ac:dyDescent="0.3">
      <c r="B93" s="87">
        <v>46162</v>
      </c>
      <c r="C93">
        <v>23659</v>
      </c>
    </row>
    <row r="94" spans="2:3" x14ac:dyDescent="0.3">
      <c r="B94" s="87">
        <v>46161</v>
      </c>
      <c r="C94">
        <v>23618</v>
      </c>
    </row>
    <row r="95" spans="2:3" x14ac:dyDescent="0.3">
      <c r="B95" s="87">
        <v>46160</v>
      </c>
      <c r="C95">
        <v>23649.95</v>
      </c>
    </row>
    <row r="96" spans="2:3" x14ac:dyDescent="0.3">
      <c r="B96" s="87">
        <v>46157</v>
      </c>
      <c r="C96">
        <v>23643.5</v>
      </c>
    </row>
    <row r="97" spans="2:3" x14ac:dyDescent="0.3">
      <c r="B97" s="87">
        <v>46156</v>
      </c>
      <c r="C97">
        <v>23689.599999999999</v>
      </c>
    </row>
    <row r="98" spans="2:3" x14ac:dyDescent="0.3">
      <c r="B98" s="87">
        <v>46155</v>
      </c>
      <c r="C98">
        <v>23412.6</v>
      </c>
    </row>
    <row r="99" spans="2:3" x14ac:dyDescent="0.3">
      <c r="B99" s="87">
        <v>46154</v>
      </c>
      <c r="C99">
        <v>23379.55</v>
      </c>
    </row>
    <row r="100" spans="2:3" x14ac:dyDescent="0.3">
      <c r="B100" s="87">
        <v>46153</v>
      </c>
      <c r="C100">
        <v>23815.85</v>
      </c>
    </row>
    <row r="101" spans="2:3" x14ac:dyDescent="0.3">
      <c r="B101" s="87">
        <v>46150</v>
      </c>
      <c r="C101">
        <v>24176.15</v>
      </c>
    </row>
    <row r="102" spans="2:3" x14ac:dyDescent="0.3">
      <c r="B102" s="87">
        <v>46149</v>
      </c>
      <c r="C102">
        <v>24326.65</v>
      </c>
    </row>
    <row r="103" spans="2:3" x14ac:dyDescent="0.3">
      <c r="B103" s="87">
        <v>46148</v>
      </c>
      <c r="C103">
        <v>24330.95</v>
      </c>
    </row>
    <row r="104" spans="2:3" x14ac:dyDescent="0.3">
      <c r="B104" s="87">
        <v>46147</v>
      </c>
      <c r="C104">
        <v>24032.799999999999</v>
      </c>
    </row>
    <row r="105" spans="2:3" x14ac:dyDescent="0.3">
      <c r="B105" s="87">
        <v>46146</v>
      </c>
      <c r="C105">
        <v>24119.3</v>
      </c>
    </row>
    <row r="106" spans="2:3" x14ac:dyDescent="0.3">
      <c r="B106" s="87">
        <v>46142</v>
      </c>
      <c r="C106">
        <v>23997.55</v>
      </c>
    </row>
    <row r="107" spans="2:3" x14ac:dyDescent="0.3">
      <c r="B107" s="87">
        <v>46141</v>
      </c>
      <c r="C107">
        <v>24177.65</v>
      </c>
    </row>
    <row r="108" spans="2:3" x14ac:dyDescent="0.3">
      <c r="B108" s="87">
        <v>46140</v>
      </c>
      <c r="C108">
        <v>23995.7</v>
      </c>
    </row>
    <row r="109" spans="2:3" x14ac:dyDescent="0.3">
      <c r="B109" s="87">
        <v>46139</v>
      </c>
      <c r="C109">
        <v>24092.7</v>
      </c>
    </row>
    <row r="110" spans="2:3" x14ac:dyDescent="0.3">
      <c r="B110" s="87">
        <v>46136</v>
      </c>
      <c r="C110">
        <v>23897.95</v>
      </c>
    </row>
    <row r="111" spans="2:3" x14ac:dyDescent="0.3">
      <c r="B111" s="87">
        <v>46135</v>
      </c>
      <c r="C111">
        <v>24173.05</v>
      </c>
    </row>
    <row r="112" spans="2:3" x14ac:dyDescent="0.3">
      <c r="B112" s="87">
        <v>46134</v>
      </c>
      <c r="C112">
        <v>24378.1</v>
      </c>
    </row>
    <row r="113" spans="2:3" x14ac:dyDescent="0.3">
      <c r="B113" s="87">
        <v>46133</v>
      </c>
      <c r="C113">
        <v>24576.6</v>
      </c>
    </row>
    <row r="114" spans="2:3" x14ac:dyDescent="0.3">
      <c r="B114" s="87">
        <v>46132</v>
      </c>
      <c r="C114">
        <v>24364.85</v>
      </c>
    </row>
    <row r="115" spans="2:3" x14ac:dyDescent="0.3">
      <c r="B115" s="87">
        <v>46129</v>
      </c>
      <c r="C115">
        <v>24353.55</v>
      </c>
    </row>
    <row r="116" spans="2:3" x14ac:dyDescent="0.3">
      <c r="B116" s="87">
        <v>46128</v>
      </c>
      <c r="C116">
        <v>24196.75</v>
      </c>
    </row>
    <row r="117" spans="2:3" x14ac:dyDescent="0.3">
      <c r="B117" s="87">
        <v>46127</v>
      </c>
      <c r="C117">
        <v>24231.3</v>
      </c>
    </row>
    <row r="118" spans="2:3" x14ac:dyDescent="0.3">
      <c r="B118" s="87">
        <v>46125</v>
      </c>
      <c r="C118">
        <v>23842.65</v>
      </c>
    </row>
    <row r="119" spans="2:3" x14ac:dyDescent="0.3">
      <c r="B119" s="87">
        <v>46122</v>
      </c>
      <c r="C119">
        <v>24050.6</v>
      </c>
    </row>
    <row r="120" spans="2:3" x14ac:dyDescent="0.3">
      <c r="B120" s="87">
        <v>46121</v>
      </c>
      <c r="C120">
        <v>23775.1</v>
      </c>
    </row>
    <row r="121" spans="2:3" x14ac:dyDescent="0.3">
      <c r="B121" s="87">
        <v>46120</v>
      </c>
      <c r="C121">
        <v>23997.35</v>
      </c>
    </row>
    <row r="122" spans="2:3" x14ac:dyDescent="0.3">
      <c r="B122" s="87">
        <v>46119</v>
      </c>
      <c r="C122">
        <v>23123.65</v>
      </c>
    </row>
    <row r="123" spans="2:3" x14ac:dyDescent="0.3">
      <c r="B123" s="87">
        <v>46118</v>
      </c>
      <c r="C123">
        <v>22968.25</v>
      </c>
    </row>
    <row r="124" spans="2:3" x14ac:dyDescent="0.3">
      <c r="B124" s="87">
        <v>46114</v>
      </c>
      <c r="C124">
        <v>22713.1</v>
      </c>
    </row>
    <row r="125" spans="2:3" x14ac:dyDescent="0.3">
      <c r="B125" s="87">
        <v>46113</v>
      </c>
      <c r="C125">
        <v>22679.4</v>
      </c>
    </row>
    <row r="126" spans="2:3" x14ac:dyDescent="0.3">
      <c r="B126" s="87">
        <v>46111</v>
      </c>
      <c r="C126">
        <v>22331.4</v>
      </c>
    </row>
    <row r="127" spans="2:3" x14ac:dyDescent="0.3">
      <c r="B127" s="87">
        <v>46108</v>
      </c>
      <c r="C127">
        <v>22819.599999999999</v>
      </c>
    </row>
    <row r="128" spans="2:3" x14ac:dyDescent="0.3">
      <c r="B128" s="87">
        <v>46106</v>
      </c>
      <c r="C128">
        <v>23306.45</v>
      </c>
    </row>
    <row r="129" spans="2:3" x14ac:dyDescent="0.3">
      <c r="B129" s="87">
        <v>46105</v>
      </c>
      <c r="C129">
        <v>22912.400000000001</v>
      </c>
    </row>
    <row r="130" spans="2:3" x14ac:dyDescent="0.3">
      <c r="B130" s="87">
        <v>46104</v>
      </c>
      <c r="C130">
        <v>22512.65</v>
      </c>
    </row>
    <row r="131" spans="2:3" x14ac:dyDescent="0.3">
      <c r="B131" s="87">
        <v>46101</v>
      </c>
      <c r="C131">
        <v>23114.5</v>
      </c>
    </row>
    <row r="132" spans="2:3" x14ac:dyDescent="0.3">
      <c r="B132" s="87">
        <v>46100</v>
      </c>
      <c r="C132">
        <v>23002.15</v>
      </c>
    </row>
    <row r="133" spans="2:3" x14ac:dyDescent="0.3">
      <c r="B133" s="87">
        <v>46099</v>
      </c>
      <c r="C133">
        <v>23777.8</v>
      </c>
    </row>
    <row r="134" spans="2:3" x14ac:dyDescent="0.3">
      <c r="B134" s="87">
        <v>46098</v>
      </c>
      <c r="C134">
        <v>23581.15</v>
      </c>
    </row>
    <row r="135" spans="2:3" x14ac:dyDescent="0.3">
      <c r="B135" s="87">
        <v>46097</v>
      </c>
      <c r="C135">
        <v>23408.799999999999</v>
      </c>
    </row>
    <row r="136" spans="2:3" x14ac:dyDescent="0.3">
      <c r="B136" s="87">
        <v>46094</v>
      </c>
      <c r="C136">
        <v>23151.1</v>
      </c>
    </row>
    <row r="137" spans="2:3" x14ac:dyDescent="0.3">
      <c r="B137" s="87">
        <v>46093</v>
      </c>
      <c r="C137">
        <v>23639.15</v>
      </c>
    </row>
    <row r="138" spans="2:3" x14ac:dyDescent="0.3">
      <c r="B138" s="87">
        <v>46092</v>
      </c>
      <c r="C138">
        <v>23866.85</v>
      </c>
    </row>
    <row r="139" spans="2:3" x14ac:dyDescent="0.3">
      <c r="B139" s="87">
        <v>46091</v>
      </c>
      <c r="C139">
        <v>24261.599999999999</v>
      </c>
    </row>
    <row r="140" spans="2:3" x14ac:dyDescent="0.3">
      <c r="B140" s="87">
        <v>46090</v>
      </c>
      <c r="C140">
        <v>24028.05</v>
      </c>
    </row>
    <row r="141" spans="2:3" x14ac:dyDescent="0.3">
      <c r="B141" s="87">
        <v>46087</v>
      </c>
      <c r="C141">
        <v>24450.45</v>
      </c>
    </row>
    <row r="142" spans="2:3" x14ac:dyDescent="0.3">
      <c r="B142" s="87">
        <v>46086</v>
      </c>
      <c r="C142">
        <v>24765.9</v>
      </c>
    </row>
    <row r="143" spans="2:3" x14ac:dyDescent="0.3">
      <c r="B143" s="87">
        <v>46085</v>
      </c>
      <c r="C143">
        <v>24480.5</v>
      </c>
    </row>
    <row r="144" spans="2:3" x14ac:dyDescent="0.3">
      <c r="B144" s="87">
        <v>46083</v>
      </c>
      <c r="C144">
        <v>24865.7</v>
      </c>
    </row>
    <row r="145" spans="2:3" x14ac:dyDescent="0.3">
      <c r="B145" s="87">
        <v>46080</v>
      </c>
      <c r="C145">
        <v>25178.65</v>
      </c>
    </row>
    <row r="146" spans="2:3" x14ac:dyDescent="0.3">
      <c r="B146" s="87">
        <v>46079</v>
      </c>
      <c r="C146">
        <v>25496.55</v>
      </c>
    </row>
    <row r="147" spans="2:3" x14ac:dyDescent="0.3">
      <c r="B147" s="87">
        <v>46078</v>
      </c>
      <c r="C147">
        <v>25482.5</v>
      </c>
    </row>
    <row r="148" spans="2:3" x14ac:dyDescent="0.3">
      <c r="B148" s="87">
        <v>46077</v>
      </c>
      <c r="C148">
        <v>25424.65</v>
      </c>
    </row>
    <row r="149" spans="2:3" x14ac:dyDescent="0.3">
      <c r="B149" s="87">
        <v>46076</v>
      </c>
      <c r="C149">
        <v>25713</v>
      </c>
    </row>
    <row r="150" spans="2:3" x14ac:dyDescent="0.3">
      <c r="B150" s="87">
        <v>46073</v>
      </c>
      <c r="C150">
        <v>25571.25</v>
      </c>
    </row>
    <row r="151" spans="2:3" x14ac:dyDescent="0.3">
      <c r="B151" s="87">
        <v>46072</v>
      </c>
      <c r="C151">
        <v>25454.35</v>
      </c>
    </row>
    <row r="152" spans="2:3" x14ac:dyDescent="0.3">
      <c r="B152" s="87">
        <v>46071</v>
      </c>
      <c r="C152">
        <v>25819.35</v>
      </c>
    </row>
    <row r="153" spans="2:3" x14ac:dyDescent="0.3">
      <c r="B153" s="87">
        <v>46070</v>
      </c>
      <c r="C153">
        <v>25725.4</v>
      </c>
    </row>
    <row r="154" spans="2:3" x14ac:dyDescent="0.3">
      <c r="B154" s="87">
        <v>46069</v>
      </c>
      <c r="C154">
        <v>25682.75</v>
      </c>
    </row>
    <row r="155" spans="2:3" x14ac:dyDescent="0.3">
      <c r="B155" s="87">
        <v>46066</v>
      </c>
      <c r="C155">
        <v>25471.1</v>
      </c>
    </row>
    <row r="156" spans="2:3" x14ac:dyDescent="0.3">
      <c r="B156" s="87">
        <v>46065</v>
      </c>
      <c r="C156">
        <v>25807.200000000001</v>
      </c>
    </row>
    <row r="157" spans="2:3" x14ac:dyDescent="0.3">
      <c r="B157" s="87">
        <v>46064</v>
      </c>
      <c r="C157">
        <v>25953.85</v>
      </c>
    </row>
    <row r="158" spans="2:3" x14ac:dyDescent="0.3">
      <c r="B158" s="87">
        <v>46063</v>
      </c>
      <c r="C158">
        <v>25935.15</v>
      </c>
    </row>
    <row r="159" spans="2:3" x14ac:dyDescent="0.3">
      <c r="B159" s="87">
        <v>46062</v>
      </c>
      <c r="C159">
        <v>25867.3</v>
      </c>
    </row>
    <row r="160" spans="2:3" x14ac:dyDescent="0.3">
      <c r="B160" s="87">
        <v>46059</v>
      </c>
      <c r="C160">
        <v>25693.7</v>
      </c>
    </row>
    <row r="161" spans="2:3" x14ac:dyDescent="0.3">
      <c r="B161" s="87">
        <v>46058</v>
      </c>
      <c r="C161">
        <v>25642.799999999999</v>
      </c>
    </row>
    <row r="162" spans="2:3" x14ac:dyDescent="0.3">
      <c r="B162" s="87">
        <v>46057</v>
      </c>
      <c r="C162">
        <v>25776</v>
      </c>
    </row>
    <row r="163" spans="2:3" x14ac:dyDescent="0.3">
      <c r="B163" s="87">
        <v>46056</v>
      </c>
      <c r="C163">
        <v>25727.55</v>
      </c>
    </row>
    <row r="164" spans="2:3" x14ac:dyDescent="0.3">
      <c r="B164" s="87">
        <v>46055</v>
      </c>
      <c r="C164">
        <v>25088.400000000001</v>
      </c>
    </row>
    <row r="165" spans="2:3" x14ac:dyDescent="0.3">
      <c r="B165" s="87">
        <v>46054</v>
      </c>
      <c r="C165">
        <v>24825.45</v>
      </c>
    </row>
    <row r="166" spans="2:3" x14ac:dyDescent="0.3">
      <c r="B166" s="87">
        <v>46052</v>
      </c>
      <c r="C166">
        <v>25320.65</v>
      </c>
    </row>
    <row r="167" spans="2:3" x14ac:dyDescent="0.3">
      <c r="B167" s="87">
        <v>46051</v>
      </c>
      <c r="C167">
        <v>25418.9</v>
      </c>
    </row>
    <row r="168" spans="2:3" x14ac:dyDescent="0.3">
      <c r="B168" s="87">
        <v>46050</v>
      </c>
      <c r="C168">
        <v>25342.75</v>
      </c>
    </row>
    <row r="169" spans="2:3" x14ac:dyDescent="0.3">
      <c r="B169" s="87">
        <v>46049</v>
      </c>
      <c r="C169">
        <v>25175.4</v>
      </c>
    </row>
    <row r="170" spans="2:3" x14ac:dyDescent="0.3">
      <c r="B170" s="87">
        <v>46045</v>
      </c>
      <c r="C170">
        <v>25048.65</v>
      </c>
    </row>
    <row r="171" spans="2:3" x14ac:dyDescent="0.3">
      <c r="B171" s="87">
        <v>46044</v>
      </c>
      <c r="C171">
        <v>25289.9</v>
      </c>
    </row>
    <row r="172" spans="2:3" x14ac:dyDescent="0.3">
      <c r="B172" s="87">
        <v>46043</v>
      </c>
      <c r="C172">
        <v>25157.5</v>
      </c>
    </row>
    <row r="173" spans="2:3" x14ac:dyDescent="0.3">
      <c r="B173" s="87">
        <v>46042</v>
      </c>
      <c r="C173">
        <v>25232.5</v>
      </c>
    </row>
    <row r="174" spans="2:3" x14ac:dyDescent="0.3">
      <c r="B174" s="87">
        <v>46041</v>
      </c>
      <c r="C174">
        <v>25585.5</v>
      </c>
    </row>
    <row r="175" spans="2:3" x14ac:dyDescent="0.3">
      <c r="B175" s="87">
        <v>46038</v>
      </c>
      <c r="C175">
        <v>25694.35</v>
      </c>
    </row>
    <row r="176" spans="2:3" x14ac:dyDescent="0.3">
      <c r="B176" s="87">
        <v>46036</v>
      </c>
      <c r="C176">
        <v>25665.599999999999</v>
      </c>
    </row>
    <row r="177" spans="2:3" x14ac:dyDescent="0.3">
      <c r="B177" s="87">
        <v>46035</v>
      </c>
      <c r="C177">
        <v>25732.3</v>
      </c>
    </row>
    <row r="178" spans="2:3" x14ac:dyDescent="0.3">
      <c r="B178" s="87">
        <v>46034</v>
      </c>
      <c r="C178">
        <v>25790.25</v>
      </c>
    </row>
    <row r="179" spans="2:3" x14ac:dyDescent="0.3">
      <c r="B179" s="87">
        <v>46031</v>
      </c>
      <c r="C179">
        <v>25683.3</v>
      </c>
    </row>
    <row r="180" spans="2:3" x14ac:dyDescent="0.3">
      <c r="B180" s="87">
        <v>46030</v>
      </c>
      <c r="C180">
        <v>25876.85</v>
      </c>
    </row>
    <row r="181" spans="2:3" x14ac:dyDescent="0.3">
      <c r="B181" s="87">
        <v>46029</v>
      </c>
      <c r="C181">
        <v>26140.75</v>
      </c>
    </row>
    <row r="182" spans="2:3" x14ac:dyDescent="0.3">
      <c r="B182" s="87">
        <v>46028</v>
      </c>
      <c r="C182">
        <v>26178.7</v>
      </c>
    </row>
    <row r="183" spans="2:3" x14ac:dyDescent="0.3">
      <c r="B183" s="87">
        <v>46027</v>
      </c>
      <c r="C183">
        <v>26250.3</v>
      </c>
    </row>
    <row r="184" spans="2:3" x14ac:dyDescent="0.3">
      <c r="B184" s="87">
        <v>46024</v>
      </c>
      <c r="C184">
        <v>26328.55</v>
      </c>
    </row>
    <row r="185" spans="2:3" x14ac:dyDescent="0.3">
      <c r="B185" s="87">
        <v>46023</v>
      </c>
      <c r="C185">
        <v>26146.55</v>
      </c>
    </row>
    <row r="186" spans="2:3" x14ac:dyDescent="0.3">
      <c r="B186" s="87">
        <v>46022</v>
      </c>
      <c r="C186">
        <v>26129.599999999999</v>
      </c>
    </row>
    <row r="187" spans="2:3" x14ac:dyDescent="0.3">
      <c r="B187" s="87">
        <v>46021</v>
      </c>
      <c r="C187">
        <v>25938.85</v>
      </c>
    </row>
    <row r="188" spans="2:3" x14ac:dyDescent="0.3">
      <c r="B188" s="87">
        <v>46020</v>
      </c>
      <c r="C188">
        <v>25942.1</v>
      </c>
    </row>
    <row r="189" spans="2:3" x14ac:dyDescent="0.3">
      <c r="B189" s="87">
        <v>46017</v>
      </c>
      <c r="C189">
        <v>26042.3</v>
      </c>
    </row>
    <row r="190" spans="2:3" x14ac:dyDescent="0.3">
      <c r="B190" s="87">
        <v>46015</v>
      </c>
      <c r="C190">
        <v>26142.1</v>
      </c>
    </row>
    <row r="191" spans="2:3" x14ac:dyDescent="0.3">
      <c r="B191" s="87">
        <v>46014</v>
      </c>
      <c r="C191">
        <v>26177.15</v>
      </c>
    </row>
    <row r="192" spans="2:3" x14ac:dyDescent="0.3">
      <c r="B192" s="87">
        <v>46013</v>
      </c>
      <c r="C192">
        <v>26172.400000000001</v>
      </c>
    </row>
    <row r="193" spans="2:3" x14ac:dyDescent="0.3">
      <c r="B193" s="87">
        <v>46010</v>
      </c>
      <c r="C193">
        <v>25966.400000000001</v>
      </c>
    </row>
    <row r="194" spans="2:3" x14ac:dyDescent="0.3">
      <c r="B194" s="87">
        <v>46009</v>
      </c>
      <c r="C194">
        <v>25815.55</v>
      </c>
    </row>
    <row r="195" spans="2:3" x14ac:dyDescent="0.3">
      <c r="B195" s="87">
        <v>46008</v>
      </c>
      <c r="C195">
        <v>25818.55</v>
      </c>
    </row>
    <row r="196" spans="2:3" x14ac:dyDescent="0.3">
      <c r="B196" s="87">
        <v>46007</v>
      </c>
      <c r="C196">
        <v>25860.1</v>
      </c>
    </row>
    <row r="197" spans="2:3" x14ac:dyDescent="0.3">
      <c r="B197" s="87">
        <v>46006</v>
      </c>
      <c r="C197">
        <v>26027.3</v>
      </c>
    </row>
    <row r="198" spans="2:3" x14ac:dyDescent="0.3">
      <c r="B198" s="87">
        <v>46003</v>
      </c>
      <c r="C198">
        <v>26046.95</v>
      </c>
    </row>
    <row r="199" spans="2:3" x14ac:dyDescent="0.3">
      <c r="B199" s="87">
        <v>46002</v>
      </c>
      <c r="C199">
        <v>25898.55</v>
      </c>
    </row>
    <row r="200" spans="2:3" x14ac:dyDescent="0.3">
      <c r="B200" s="87">
        <v>46001</v>
      </c>
      <c r="C200">
        <v>25758</v>
      </c>
    </row>
    <row r="201" spans="2:3" x14ac:dyDescent="0.3">
      <c r="B201" s="87">
        <v>46000</v>
      </c>
      <c r="C201">
        <v>25839.65</v>
      </c>
    </row>
    <row r="202" spans="2:3" x14ac:dyDescent="0.3">
      <c r="B202" s="87">
        <v>45999</v>
      </c>
      <c r="C202">
        <v>25960.55</v>
      </c>
    </row>
    <row r="203" spans="2:3" x14ac:dyDescent="0.3">
      <c r="B203" s="87">
        <v>45996</v>
      </c>
      <c r="C203">
        <v>26186.45</v>
      </c>
    </row>
    <row r="204" spans="2:3" x14ac:dyDescent="0.3">
      <c r="B204" s="87">
        <v>45995</v>
      </c>
      <c r="C204">
        <v>26033.75</v>
      </c>
    </row>
    <row r="205" spans="2:3" x14ac:dyDescent="0.3">
      <c r="B205" s="87">
        <v>45994</v>
      </c>
      <c r="C205">
        <v>25986</v>
      </c>
    </row>
    <row r="206" spans="2:3" x14ac:dyDescent="0.3">
      <c r="B206" s="87">
        <v>45993</v>
      </c>
      <c r="C206">
        <v>26032.2</v>
      </c>
    </row>
    <row r="207" spans="2:3" x14ac:dyDescent="0.3">
      <c r="B207" s="87">
        <v>45992</v>
      </c>
      <c r="C207">
        <v>26175.75</v>
      </c>
    </row>
    <row r="208" spans="2:3" x14ac:dyDescent="0.3">
      <c r="B208" s="87">
        <v>45989</v>
      </c>
      <c r="C208">
        <v>26202.95</v>
      </c>
    </row>
    <row r="209" spans="2:3" x14ac:dyDescent="0.3">
      <c r="B209" s="87">
        <v>45988</v>
      </c>
      <c r="C209">
        <v>26215.55</v>
      </c>
    </row>
    <row r="210" spans="2:3" x14ac:dyDescent="0.3">
      <c r="B210" s="87">
        <v>45987</v>
      </c>
      <c r="C210">
        <v>26205.3</v>
      </c>
    </row>
    <row r="211" spans="2:3" x14ac:dyDescent="0.3">
      <c r="B211" s="87">
        <v>45986</v>
      </c>
      <c r="C211">
        <v>25884.799999999999</v>
      </c>
    </row>
    <row r="212" spans="2:3" x14ac:dyDescent="0.3">
      <c r="B212" s="87">
        <v>45985</v>
      </c>
      <c r="C212">
        <v>25959.5</v>
      </c>
    </row>
    <row r="213" spans="2:3" x14ac:dyDescent="0.3">
      <c r="B213" s="87">
        <v>45982</v>
      </c>
      <c r="C213">
        <v>26068.15</v>
      </c>
    </row>
    <row r="214" spans="2:3" x14ac:dyDescent="0.3">
      <c r="B214" s="87">
        <v>45981</v>
      </c>
      <c r="C214">
        <v>26192.15</v>
      </c>
    </row>
    <row r="215" spans="2:3" x14ac:dyDescent="0.3">
      <c r="B215" s="87">
        <v>45980</v>
      </c>
      <c r="C215">
        <v>26052.65</v>
      </c>
    </row>
    <row r="216" spans="2:3" x14ac:dyDescent="0.3">
      <c r="B216" s="87">
        <v>45979</v>
      </c>
      <c r="C216">
        <v>25910.05</v>
      </c>
    </row>
    <row r="217" spans="2:3" x14ac:dyDescent="0.3">
      <c r="B217" s="87">
        <v>45978</v>
      </c>
      <c r="C217">
        <v>26013.45</v>
      </c>
    </row>
    <row r="218" spans="2:3" x14ac:dyDescent="0.3">
      <c r="B218" s="87">
        <v>45975</v>
      </c>
      <c r="C218">
        <v>25910.05</v>
      </c>
    </row>
    <row r="219" spans="2:3" x14ac:dyDescent="0.3">
      <c r="B219" s="87">
        <v>45974</v>
      </c>
      <c r="C219">
        <v>25879.15</v>
      </c>
    </row>
    <row r="220" spans="2:3" x14ac:dyDescent="0.3">
      <c r="B220" s="87">
        <v>45973</v>
      </c>
      <c r="C220">
        <v>25875.8</v>
      </c>
    </row>
    <row r="221" spans="2:3" x14ac:dyDescent="0.3">
      <c r="B221" s="87">
        <v>45972</v>
      </c>
      <c r="C221">
        <v>25694.95</v>
      </c>
    </row>
    <row r="222" spans="2:3" x14ac:dyDescent="0.3">
      <c r="B222" s="87">
        <v>45971</v>
      </c>
      <c r="C222">
        <v>25574.35</v>
      </c>
    </row>
    <row r="223" spans="2:3" x14ac:dyDescent="0.3">
      <c r="B223" s="87">
        <v>45968</v>
      </c>
      <c r="C223">
        <v>25492.3</v>
      </c>
    </row>
    <row r="224" spans="2:3" x14ac:dyDescent="0.3">
      <c r="B224" s="87">
        <v>45967</v>
      </c>
      <c r="C224">
        <v>25509.7</v>
      </c>
    </row>
    <row r="225" spans="2:3" x14ac:dyDescent="0.3">
      <c r="B225" s="87">
        <v>45965</v>
      </c>
      <c r="C225">
        <v>25597.65</v>
      </c>
    </row>
    <row r="226" spans="2:3" x14ac:dyDescent="0.3">
      <c r="B226" s="87">
        <v>45964</v>
      </c>
      <c r="C226">
        <v>25763.35</v>
      </c>
    </row>
    <row r="227" spans="2:3" x14ac:dyDescent="0.3">
      <c r="B227" s="87">
        <v>45961</v>
      </c>
      <c r="C227">
        <v>25722.1</v>
      </c>
    </row>
    <row r="228" spans="2:3" x14ac:dyDescent="0.3">
      <c r="B228" s="87">
        <v>45960</v>
      </c>
      <c r="C228">
        <v>25877.85</v>
      </c>
    </row>
    <row r="229" spans="2:3" x14ac:dyDescent="0.3">
      <c r="B229" s="87">
        <v>45959</v>
      </c>
      <c r="C229">
        <v>26053.9</v>
      </c>
    </row>
    <row r="230" spans="2:3" x14ac:dyDescent="0.3">
      <c r="B230" s="87">
        <v>45958</v>
      </c>
      <c r="C230">
        <v>25936.2</v>
      </c>
    </row>
    <row r="231" spans="2:3" x14ac:dyDescent="0.3">
      <c r="B231" s="87">
        <v>45957</v>
      </c>
      <c r="C231">
        <v>25966.05</v>
      </c>
    </row>
    <row r="232" spans="2:3" x14ac:dyDescent="0.3">
      <c r="B232" s="87">
        <v>45954</v>
      </c>
      <c r="C232">
        <v>25795.15</v>
      </c>
    </row>
    <row r="233" spans="2:3" x14ac:dyDescent="0.3">
      <c r="B233" s="87">
        <v>45953</v>
      </c>
      <c r="C233">
        <v>25891.4</v>
      </c>
    </row>
    <row r="234" spans="2:3" x14ac:dyDescent="0.3">
      <c r="B234" s="87">
        <v>45951</v>
      </c>
      <c r="C234">
        <v>25868.6</v>
      </c>
    </row>
    <row r="235" spans="2:3" x14ac:dyDescent="0.3">
      <c r="B235" s="87">
        <v>45950</v>
      </c>
      <c r="C235">
        <v>25843.15</v>
      </c>
    </row>
    <row r="236" spans="2:3" x14ac:dyDescent="0.3">
      <c r="B236" s="87">
        <v>45947</v>
      </c>
      <c r="C236">
        <v>25709.85</v>
      </c>
    </row>
    <row r="237" spans="2:3" x14ac:dyDescent="0.3">
      <c r="B237" s="87">
        <v>45946</v>
      </c>
      <c r="C237">
        <v>25585.3</v>
      </c>
    </row>
    <row r="238" spans="2:3" x14ac:dyDescent="0.3">
      <c r="B238" s="87">
        <v>45945</v>
      </c>
      <c r="C238">
        <v>25323.55</v>
      </c>
    </row>
    <row r="239" spans="2:3" x14ac:dyDescent="0.3">
      <c r="B239" s="87">
        <v>45944</v>
      </c>
      <c r="C239">
        <v>25145.5</v>
      </c>
    </row>
    <row r="240" spans="2:3" x14ac:dyDescent="0.3">
      <c r="B240" s="87">
        <v>45943</v>
      </c>
      <c r="C240">
        <v>25227.35</v>
      </c>
    </row>
    <row r="241" spans="2:3" x14ac:dyDescent="0.3">
      <c r="B241" s="87">
        <v>45940</v>
      </c>
      <c r="C241">
        <v>25285.35</v>
      </c>
    </row>
    <row r="242" spans="2:3" x14ac:dyDescent="0.3">
      <c r="B242" s="87">
        <v>45939</v>
      </c>
      <c r="C242">
        <v>25181.8</v>
      </c>
    </row>
    <row r="243" spans="2:3" x14ac:dyDescent="0.3">
      <c r="B243" s="87">
        <v>45938</v>
      </c>
      <c r="C243">
        <v>25046.15</v>
      </c>
    </row>
    <row r="244" spans="2:3" x14ac:dyDescent="0.3">
      <c r="B244" s="87">
        <v>45937</v>
      </c>
      <c r="C244">
        <v>25108.3</v>
      </c>
    </row>
    <row r="245" spans="2:3" x14ac:dyDescent="0.3">
      <c r="B245" s="87">
        <v>45936</v>
      </c>
      <c r="C245">
        <v>25077.65</v>
      </c>
    </row>
    <row r="246" spans="2:3" x14ac:dyDescent="0.3">
      <c r="B246" s="87">
        <v>45933</v>
      </c>
      <c r="C246">
        <v>24894.25</v>
      </c>
    </row>
    <row r="247" spans="2:3" x14ac:dyDescent="0.3">
      <c r="B247" s="87">
        <v>45931</v>
      </c>
      <c r="C247">
        <v>24836.3</v>
      </c>
    </row>
    <row r="248" spans="2:3" x14ac:dyDescent="0.3">
      <c r="B248" s="87">
        <v>45930</v>
      </c>
      <c r="C248">
        <v>24611.1</v>
      </c>
    </row>
    <row r="249" spans="2:3" x14ac:dyDescent="0.3">
      <c r="B249" s="87">
        <v>45929</v>
      </c>
      <c r="C249">
        <v>24634.9</v>
      </c>
    </row>
    <row r="250" spans="2:3" x14ac:dyDescent="0.3">
      <c r="B250" s="87">
        <v>45926</v>
      </c>
      <c r="C250">
        <v>24654.7</v>
      </c>
    </row>
    <row r="251" spans="2:3" x14ac:dyDescent="0.3">
      <c r="B251" s="87">
        <v>45925</v>
      </c>
      <c r="C251">
        <v>24890.85</v>
      </c>
    </row>
    <row r="252" spans="2:3" x14ac:dyDescent="0.3">
      <c r="B252" s="87">
        <v>45924</v>
      </c>
      <c r="C252">
        <v>25056.9</v>
      </c>
    </row>
    <row r="253" spans="2:3" x14ac:dyDescent="0.3">
      <c r="B253" s="87">
        <v>45923</v>
      </c>
      <c r="C253">
        <v>25169.5</v>
      </c>
    </row>
    <row r="254" spans="2:3" x14ac:dyDescent="0.3">
      <c r="B254" s="87">
        <v>45922</v>
      </c>
      <c r="C254">
        <v>25202.35</v>
      </c>
    </row>
    <row r="255" spans="2:3" x14ac:dyDescent="0.3">
      <c r="B255" s="87">
        <v>45919</v>
      </c>
      <c r="C255">
        <v>25327.05</v>
      </c>
    </row>
    <row r="256" spans="2:3" x14ac:dyDescent="0.3">
      <c r="B256" s="87">
        <v>45918</v>
      </c>
      <c r="C256">
        <v>25423.599999999999</v>
      </c>
    </row>
    <row r="257" spans="2:3" x14ac:dyDescent="0.3">
      <c r="B257" s="87">
        <v>45917</v>
      </c>
      <c r="C257">
        <v>25330.25</v>
      </c>
    </row>
    <row r="258" spans="2:3" x14ac:dyDescent="0.3">
      <c r="B258" s="87">
        <v>45916</v>
      </c>
      <c r="C258">
        <v>25239.1</v>
      </c>
    </row>
    <row r="259" spans="2:3" x14ac:dyDescent="0.3">
      <c r="B259" s="87">
        <v>45915</v>
      </c>
      <c r="C259">
        <v>25069.200000000001</v>
      </c>
    </row>
    <row r="260" spans="2:3" x14ac:dyDescent="0.3">
      <c r="B260" s="87">
        <v>45912</v>
      </c>
      <c r="C260">
        <v>25114</v>
      </c>
    </row>
    <row r="261" spans="2:3" x14ac:dyDescent="0.3">
      <c r="B261" s="87">
        <v>45911</v>
      </c>
      <c r="C261">
        <v>25005.5</v>
      </c>
    </row>
    <row r="262" spans="2:3" x14ac:dyDescent="0.3">
      <c r="B262" s="87">
        <v>45910</v>
      </c>
      <c r="C262">
        <v>24973.1</v>
      </c>
    </row>
    <row r="263" spans="2:3" x14ac:dyDescent="0.3">
      <c r="B263" s="87">
        <v>45909</v>
      </c>
      <c r="C263">
        <v>24868.6</v>
      </c>
    </row>
    <row r="264" spans="2:3" x14ac:dyDescent="0.3">
      <c r="B264" s="87">
        <v>45908</v>
      </c>
      <c r="C264">
        <v>24773.15</v>
      </c>
    </row>
    <row r="265" spans="2:3" x14ac:dyDescent="0.3">
      <c r="B265" s="87">
        <v>45905</v>
      </c>
      <c r="C265">
        <v>24741</v>
      </c>
    </row>
    <row r="266" spans="2:3" x14ac:dyDescent="0.3">
      <c r="B266" s="87">
        <v>45904</v>
      </c>
      <c r="C266">
        <v>24734.3</v>
      </c>
    </row>
    <row r="267" spans="2:3" x14ac:dyDescent="0.3">
      <c r="B267" s="87">
        <v>45903</v>
      </c>
      <c r="C267">
        <v>24715.05</v>
      </c>
    </row>
    <row r="268" spans="2:3" x14ac:dyDescent="0.3">
      <c r="B268" s="87">
        <v>45902</v>
      </c>
      <c r="C268">
        <v>24579.599999999999</v>
      </c>
    </row>
    <row r="269" spans="2:3" x14ac:dyDescent="0.3">
      <c r="B269" s="87">
        <v>45901</v>
      </c>
      <c r="C269">
        <v>24625.05</v>
      </c>
    </row>
    <row r="270" spans="2:3" x14ac:dyDescent="0.3">
      <c r="B270" s="87">
        <v>45898</v>
      </c>
      <c r="C270">
        <v>24426.85</v>
      </c>
    </row>
    <row r="271" spans="2:3" x14ac:dyDescent="0.3">
      <c r="B271" s="87">
        <v>45897</v>
      </c>
      <c r="C271">
        <v>24500.9</v>
      </c>
    </row>
    <row r="272" spans="2:3" x14ac:dyDescent="0.3">
      <c r="B272" s="87">
        <v>45895</v>
      </c>
      <c r="C272">
        <v>24712.05</v>
      </c>
    </row>
    <row r="273" spans="2:3" x14ac:dyDescent="0.3">
      <c r="B273" s="87">
        <v>45894</v>
      </c>
      <c r="C273">
        <v>24967.75</v>
      </c>
    </row>
    <row r="274" spans="2:3" x14ac:dyDescent="0.3">
      <c r="B274" s="87">
        <v>45891</v>
      </c>
      <c r="C274">
        <v>24870.1</v>
      </c>
    </row>
    <row r="275" spans="2:3" x14ac:dyDescent="0.3">
      <c r="B275" s="87">
        <v>45890</v>
      </c>
      <c r="C275">
        <v>25083.75</v>
      </c>
    </row>
    <row r="276" spans="2:3" x14ac:dyDescent="0.3">
      <c r="B276" s="87">
        <v>45889</v>
      </c>
      <c r="C276">
        <v>25050.55</v>
      </c>
    </row>
    <row r="277" spans="2:3" x14ac:dyDescent="0.3">
      <c r="B277" s="87">
        <v>45888</v>
      </c>
      <c r="C277">
        <v>24980.65</v>
      </c>
    </row>
    <row r="278" spans="2:3" x14ac:dyDescent="0.3">
      <c r="B278" s="87">
        <v>45887</v>
      </c>
      <c r="C278">
        <v>24876.95</v>
      </c>
    </row>
    <row r="279" spans="2:3" x14ac:dyDescent="0.3">
      <c r="B279" s="87">
        <v>45883</v>
      </c>
      <c r="C279">
        <v>24631.3</v>
      </c>
    </row>
    <row r="280" spans="2:3" x14ac:dyDescent="0.3">
      <c r="B280" s="87">
        <v>45882</v>
      </c>
      <c r="C280">
        <v>24619.35</v>
      </c>
    </row>
    <row r="281" spans="2:3" x14ac:dyDescent="0.3">
      <c r="B281" s="87">
        <v>45881</v>
      </c>
      <c r="C281">
        <v>24487.4</v>
      </c>
    </row>
    <row r="282" spans="2:3" x14ac:dyDescent="0.3">
      <c r="B282" s="87">
        <v>45880</v>
      </c>
      <c r="C282">
        <v>24585.05</v>
      </c>
    </row>
    <row r="283" spans="2:3" x14ac:dyDescent="0.3">
      <c r="B283" s="87">
        <v>45877</v>
      </c>
      <c r="C283">
        <v>24363.3</v>
      </c>
    </row>
    <row r="284" spans="2:3" x14ac:dyDescent="0.3">
      <c r="B284" s="87">
        <v>45876</v>
      </c>
      <c r="C284">
        <v>24596.15</v>
      </c>
    </row>
    <row r="285" spans="2:3" x14ac:dyDescent="0.3">
      <c r="B285" s="87">
        <v>45875</v>
      </c>
      <c r="C285">
        <v>24574.2</v>
      </c>
    </row>
    <row r="286" spans="2:3" x14ac:dyDescent="0.3">
      <c r="B286" s="87">
        <v>45874</v>
      </c>
      <c r="C286">
        <v>24649.55</v>
      </c>
    </row>
    <row r="287" spans="2:3" x14ac:dyDescent="0.3">
      <c r="B287" s="87">
        <v>45873</v>
      </c>
      <c r="C287">
        <v>24722.75</v>
      </c>
    </row>
    <row r="288" spans="2:3" x14ac:dyDescent="0.3">
      <c r="B288" s="87">
        <v>45870</v>
      </c>
      <c r="C288">
        <v>24565.35</v>
      </c>
    </row>
    <row r="289" spans="2:3" x14ac:dyDescent="0.3">
      <c r="B289" s="87">
        <v>45869</v>
      </c>
      <c r="C289">
        <v>24768.35</v>
      </c>
    </row>
    <row r="290" spans="2:3" x14ac:dyDescent="0.3">
      <c r="B290" s="87">
        <v>45868</v>
      </c>
      <c r="C290">
        <v>24855.05</v>
      </c>
    </row>
    <row r="291" spans="2:3" x14ac:dyDescent="0.3">
      <c r="B291" s="87">
        <v>45867</v>
      </c>
      <c r="C291">
        <v>24821.1</v>
      </c>
    </row>
    <row r="292" spans="2:3" x14ac:dyDescent="0.3">
      <c r="B292" s="87">
        <v>45866</v>
      </c>
      <c r="C292">
        <v>24680.9</v>
      </c>
    </row>
    <row r="293" spans="2:3" x14ac:dyDescent="0.3">
      <c r="B293" s="87">
        <v>45863</v>
      </c>
      <c r="C293">
        <v>24837</v>
      </c>
    </row>
    <row r="294" spans="2:3" x14ac:dyDescent="0.3">
      <c r="B294" s="87">
        <v>45862</v>
      </c>
      <c r="C294">
        <v>25062.1</v>
      </c>
    </row>
    <row r="295" spans="2:3" x14ac:dyDescent="0.3">
      <c r="B295" s="87">
        <v>45861</v>
      </c>
      <c r="C295">
        <v>25219.9</v>
      </c>
    </row>
    <row r="296" spans="2:3" x14ac:dyDescent="0.3">
      <c r="B296" s="87">
        <v>45860</v>
      </c>
      <c r="C296">
        <v>25060.9</v>
      </c>
    </row>
    <row r="297" spans="2:3" x14ac:dyDescent="0.3">
      <c r="B297" s="87">
        <v>45859</v>
      </c>
      <c r="C297">
        <v>25090.7</v>
      </c>
    </row>
    <row r="298" spans="2:3" x14ac:dyDescent="0.3">
      <c r="B298" s="87">
        <v>45856</v>
      </c>
      <c r="C298">
        <v>24968.400000000001</v>
      </c>
    </row>
    <row r="299" spans="2:3" x14ac:dyDescent="0.3">
      <c r="B299" s="87">
        <v>45855</v>
      </c>
      <c r="C299">
        <v>25111.45</v>
      </c>
    </row>
    <row r="300" spans="2:3" x14ac:dyDescent="0.3">
      <c r="B300" s="87">
        <v>45854</v>
      </c>
      <c r="C300">
        <v>25212.05</v>
      </c>
    </row>
    <row r="301" spans="2:3" x14ac:dyDescent="0.3">
      <c r="B301" s="87">
        <v>45853</v>
      </c>
      <c r="C301">
        <v>25195.8</v>
      </c>
    </row>
    <row r="302" spans="2:3" x14ac:dyDescent="0.3">
      <c r="B302" s="87">
        <v>45852</v>
      </c>
      <c r="C302">
        <v>25082.3</v>
      </c>
    </row>
    <row r="303" spans="2:3" x14ac:dyDescent="0.3">
      <c r="B303" s="87">
        <v>45849</v>
      </c>
      <c r="C303">
        <v>25149.85</v>
      </c>
    </row>
    <row r="304" spans="2:3" x14ac:dyDescent="0.3">
      <c r="B304" s="87">
        <v>45848</v>
      </c>
      <c r="C304">
        <v>25355.25</v>
      </c>
    </row>
    <row r="305" spans="2:3" x14ac:dyDescent="0.3">
      <c r="B305" s="87">
        <v>45847</v>
      </c>
      <c r="C305">
        <v>25476.1</v>
      </c>
    </row>
    <row r="306" spans="2:3" x14ac:dyDescent="0.3">
      <c r="B306" s="87">
        <v>45846</v>
      </c>
      <c r="C306">
        <v>25522.5</v>
      </c>
    </row>
    <row r="307" spans="2:3" x14ac:dyDescent="0.3">
      <c r="B307" s="87">
        <v>45845</v>
      </c>
      <c r="C307">
        <v>25461.3</v>
      </c>
    </row>
    <row r="308" spans="2:3" x14ac:dyDescent="0.3">
      <c r="B308" s="87">
        <v>45842</v>
      </c>
      <c r="C308">
        <v>25461</v>
      </c>
    </row>
    <row r="309" spans="2:3" x14ac:dyDescent="0.3">
      <c r="B309" s="87">
        <v>45841</v>
      </c>
      <c r="C309">
        <v>25405.3</v>
      </c>
    </row>
    <row r="310" spans="2:3" x14ac:dyDescent="0.3">
      <c r="B310" s="87">
        <v>45840</v>
      </c>
      <c r="C310">
        <v>25453.4</v>
      </c>
    </row>
    <row r="311" spans="2:3" x14ac:dyDescent="0.3">
      <c r="B311" s="87">
        <v>45839</v>
      </c>
      <c r="C311">
        <v>25541.8</v>
      </c>
    </row>
    <row r="312" spans="2:3" x14ac:dyDescent="0.3">
      <c r="B312" s="87">
        <v>45838</v>
      </c>
      <c r="C312">
        <v>25517.05</v>
      </c>
    </row>
    <row r="313" spans="2:3" x14ac:dyDescent="0.3">
      <c r="B313" s="87">
        <v>45835</v>
      </c>
      <c r="C313">
        <v>25637.8</v>
      </c>
    </row>
    <row r="314" spans="2:3" x14ac:dyDescent="0.3">
      <c r="B314" s="87">
        <v>45834</v>
      </c>
      <c r="C314">
        <v>25549</v>
      </c>
    </row>
    <row r="315" spans="2:3" x14ac:dyDescent="0.3">
      <c r="B315" s="87">
        <v>45833</v>
      </c>
      <c r="C315">
        <v>25244.75</v>
      </c>
    </row>
    <row r="316" spans="2:3" x14ac:dyDescent="0.3">
      <c r="B316" s="87">
        <v>45832</v>
      </c>
      <c r="C316">
        <v>25044.35</v>
      </c>
    </row>
    <row r="317" spans="2:3" x14ac:dyDescent="0.3">
      <c r="B317" s="87">
        <v>45831</v>
      </c>
      <c r="C317">
        <v>24971.9</v>
      </c>
    </row>
    <row r="318" spans="2:3" x14ac:dyDescent="0.3">
      <c r="B318" s="87">
        <v>45828</v>
      </c>
      <c r="C318">
        <v>25112.400000000001</v>
      </c>
    </row>
    <row r="319" spans="2:3" x14ac:dyDescent="0.3">
      <c r="B319" s="87">
        <v>45827</v>
      </c>
      <c r="C319">
        <v>24793.25</v>
      </c>
    </row>
    <row r="320" spans="2:3" x14ac:dyDescent="0.3">
      <c r="B320" s="87">
        <v>45826</v>
      </c>
      <c r="C320">
        <v>24812.05</v>
      </c>
    </row>
    <row r="321" spans="2:3" x14ac:dyDescent="0.3">
      <c r="B321" s="87">
        <v>45825</v>
      </c>
      <c r="C321">
        <v>24853.4</v>
      </c>
    </row>
    <row r="322" spans="2:3" x14ac:dyDescent="0.3">
      <c r="B322" s="87">
        <v>45824</v>
      </c>
      <c r="C322">
        <v>24946.5</v>
      </c>
    </row>
    <row r="323" spans="2:3" x14ac:dyDescent="0.3">
      <c r="B323" s="87">
        <v>45821</v>
      </c>
      <c r="C323">
        <v>24718.6</v>
      </c>
    </row>
    <row r="324" spans="2:3" x14ac:dyDescent="0.3">
      <c r="B324" s="87">
        <v>45820</v>
      </c>
      <c r="C324">
        <v>24888.2</v>
      </c>
    </row>
    <row r="325" spans="2:3" x14ac:dyDescent="0.3">
      <c r="B325" s="87">
        <v>45819</v>
      </c>
      <c r="C325">
        <v>25141.4</v>
      </c>
    </row>
    <row r="326" spans="2:3" x14ac:dyDescent="0.3">
      <c r="B326" s="87">
        <v>45818</v>
      </c>
      <c r="C326">
        <v>25104.25</v>
      </c>
    </row>
    <row r="327" spans="2:3" x14ac:dyDescent="0.3">
      <c r="B327" s="87">
        <v>45817</v>
      </c>
      <c r="C327">
        <v>25103.200000000001</v>
      </c>
    </row>
    <row r="328" spans="2:3" x14ac:dyDescent="0.3">
      <c r="B328" s="87">
        <v>45814</v>
      </c>
      <c r="C328">
        <v>25003.05</v>
      </c>
    </row>
    <row r="329" spans="2:3" x14ac:dyDescent="0.3">
      <c r="B329" s="87">
        <v>45813</v>
      </c>
      <c r="C329">
        <v>24750.9</v>
      </c>
    </row>
    <row r="330" spans="2:3" x14ac:dyDescent="0.3">
      <c r="B330" s="87">
        <v>45812</v>
      </c>
      <c r="C330">
        <v>24620.2</v>
      </c>
    </row>
    <row r="331" spans="2:3" x14ac:dyDescent="0.3">
      <c r="B331" s="87">
        <v>45811</v>
      </c>
      <c r="C331">
        <v>24542.5</v>
      </c>
    </row>
    <row r="332" spans="2:3" x14ac:dyDescent="0.3">
      <c r="B332" s="87">
        <v>45810</v>
      </c>
      <c r="C332">
        <v>24716.6</v>
      </c>
    </row>
    <row r="333" spans="2:3" x14ac:dyDescent="0.3">
      <c r="B333" s="87">
        <v>45807</v>
      </c>
      <c r="C333">
        <v>24750.7</v>
      </c>
    </row>
    <row r="334" spans="2:3" x14ac:dyDescent="0.3">
      <c r="B334" s="87">
        <v>45806</v>
      </c>
      <c r="C334">
        <v>24833.599999999999</v>
      </c>
    </row>
    <row r="335" spans="2:3" x14ac:dyDescent="0.3">
      <c r="B335" s="87">
        <v>45805</v>
      </c>
      <c r="C335">
        <v>24752.45</v>
      </c>
    </row>
    <row r="336" spans="2:3" x14ac:dyDescent="0.3">
      <c r="B336" s="87">
        <v>45804</v>
      </c>
      <c r="C336">
        <v>24826.2</v>
      </c>
    </row>
    <row r="337" spans="2:3" x14ac:dyDescent="0.3">
      <c r="B337" s="87">
        <v>45803</v>
      </c>
      <c r="C337">
        <v>25001.15</v>
      </c>
    </row>
    <row r="338" spans="2:3" x14ac:dyDescent="0.3">
      <c r="B338" s="87">
        <v>45800</v>
      </c>
      <c r="C338">
        <v>24853.15</v>
      </c>
    </row>
    <row r="339" spans="2:3" x14ac:dyDescent="0.3">
      <c r="B339" s="87">
        <v>45799</v>
      </c>
      <c r="C339">
        <v>24609.7</v>
      </c>
    </row>
    <row r="340" spans="2:3" x14ac:dyDescent="0.3">
      <c r="B340" s="87">
        <v>45798</v>
      </c>
      <c r="C340">
        <v>24813.45</v>
      </c>
    </row>
    <row r="341" spans="2:3" x14ac:dyDescent="0.3">
      <c r="B341" s="87">
        <v>45797</v>
      </c>
      <c r="C341">
        <v>24683.9</v>
      </c>
    </row>
    <row r="342" spans="2:3" x14ac:dyDescent="0.3">
      <c r="B342" s="87">
        <v>45796</v>
      </c>
      <c r="C342">
        <v>24945.45</v>
      </c>
    </row>
    <row r="343" spans="2:3" x14ac:dyDescent="0.3">
      <c r="B343" s="87">
        <v>45793</v>
      </c>
      <c r="C343">
        <v>25019.8</v>
      </c>
    </row>
    <row r="344" spans="2:3" x14ac:dyDescent="0.3">
      <c r="B344" s="87">
        <v>45792</v>
      </c>
      <c r="C344">
        <v>25062.1</v>
      </c>
    </row>
    <row r="345" spans="2:3" x14ac:dyDescent="0.3">
      <c r="B345" s="87">
        <v>45791</v>
      </c>
      <c r="C345">
        <v>24666.9</v>
      </c>
    </row>
    <row r="346" spans="2:3" x14ac:dyDescent="0.3">
      <c r="B346" s="87">
        <v>45790</v>
      </c>
      <c r="C346">
        <v>24578.35</v>
      </c>
    </row>
    <row r="347" spans="2:3" x14ac:dyDescent="0.3">
      <c r="B347" s="87">
        <v>45789</v>
      </c>
      <c r="C347">
        <v>24924.7</v>
      </c>
    </row>
    <row r="348" spans="2:3" x14ac:dyDescent="0.3">
      <c r="B348" s="87">
        <v>45786</v>
      </c>
      <c r="C348">
        <v>24008</v>
      </c>
    </row>
    <row r="349" spans="2:3" x14ac:dyDescent="0.3">
      <c r="B349" s="87">
        <v>45785</v>
      </c>
      <c r="C349">
        <v>24273.8</v>
      </c>
    </row>
    <row r="350" spans="2:3" x14ac:dyDescent="0.3">
      <c r="B350" s="87">
        <v>45784</v>
      </c>
      <c r="C350">
        <v>24414.400000000001</v>
      </c>
    </row>
    <row r="351" spans="2:3" x14ac:dyDescent="0.3">
      <c r="B351" s="87">
        <v>45783</v>
      </c>
      <c r="C351">
        <v>24379.599999999999</v>
      </c>
    </row>
    <row r="352" spans="2:3" x14ac:dyDescent="0.3">
      <c r="B352" s="87">
        <v>45782</v>
      </c>
      <c r="C352">
        <v>24461.15</v>
      </c>
    </row>
    <row r="353" spans="2:3" x14ac:dyDescent="0.3">
      <c r="B353" s="87">
        <v>45779</v>
      </c>
      <c r="C353">
        <v>24346.7</v>
      </c>
    </row>
    <row r="354" spans="2:3" x14ac:dyDescent="0.3">
      <c r="B354" s="87">
        <v>45777</v>
      </c>
      <c r="C354">
        <v>24334.2</v>
      </c>
    </row>
    <row r="355" spans="2:3" x14ac:dyDescent="0.3">
      <c r="B355" s="87">
        <v>45776</v>
      </c>
      <c r="C355">
        <v>24335.95</v>
      </c>
    </row>
    <row r="356" spans="2:3" x14ac:dyDescent="0.3">
      <c r="B356" s="87">
        <v>45775</v>
      </c>
      <c r="C356">
        <v>24328.5</v>
      </c>
    </row>
    <row r="357" spans="2:3" x14ac:dyDescent="0.3">
      <c r="B357" s="87">
        <v>45772</v>
      </c>
      <c r="C357">
        <v>24039.35</v>
      </c>
    </row>
    <row r="358" spans="2:3" x14ac:dyDescent="0.3">
      <c r="B358" s="87">
        <v>45771</v>
      </c>
      <c r="C358">
        <v>24246.7</v>
      </c>
    </row>
    <row r="359" spans="2:3" x14ac:dyDescent="0.3">
      <c r="B359" s="87">
        <v>45770</v>
      </c>
      <c r="C359">
        <v>24328.95</v>
      </c>
    </row>
    <row r="360" spans="2:3" x14ac:dyDescent="0.3">
      <c r="B360" s="87">
        <v>45769</v>
      </c>
      <c r="C360">
        <v>24167.25</v>
      </c>
    </row>
    <row r="361" spans="2:3" x14ac:dyDescent="0.3">
      <c r="B361" s="87">
        <v>45768</v>
      </c>
      <c r="C361">
        <v>24125.55</v>
      </c>
    </row>
    <row r="362" spans="2:3" x14ac:dyDescent="0.3">
      <c r="B362" s="87">
        <v>45764</v>
      </c>
      <c r="C362">
        <v>23851.65</v>
      </c>
    </row>
    <row r="363" spans="2:3" x14ac:dyDescent="0.3">
      <c r="B363" s="87">
        <v>45763</v>
      </c>
      <c r="C363">
        <v>23437.200000000001</v>
      </c>
    </row>
    <row r="364" spans="2:3" x14ac:dyDescent="0.3">
      <c r="B364" s="87">
        <v>45762</v>
      </c>
      <c r="C364">
        <v>23328.55</v>
      </c>
    </row>
    <row r="365" spans="2:3" x14ac:dyDescent="0.3">
      <c r="B365" s="87">
        <v>45758</v>
      </c>
      <c r="C365">
        <v>22828.55</v>
      </c>
    </row>
    <row r="366" spans="2:3" x14ac:dyDescent="0.3">
      <c r="B366" s="87">
        <v>45756</v>
      </c>
      <c r="C366">
        <v>22399.15</v>
      </c>
    </row>
    <row r="367" spans="2:3" x14ac:dyDescent="0.3">
      <c r="B367" s="87">
        <v>45755</v>
      </c>
      <c r="C367">
        <v>22535.85</v>
      </c>
    </row>
    <row r="368" spans="2:3" x14ac:dyDescent="0.3">
      <c r="B368" s="87">
        <v>45754</v>
      </c>
      <c r="C368">
        <v>22161.599999999999</v>
      </c>
    </row>
    <row r="369" spans="2:3" x14ac:dyDescent="0.3">
      <c r="B369" s="87">
        <v>45751</v>
      </c>
      <c r="C369">
        <v>22904.45</v>
      </c>
    </row>
    <row r="370" spans="2:3" x14ac:dyDescent="0.3">
      <c r="B370" s="87">
        <v>45750</v>
      </c>
      <c r="C370">
        <v>23250.1</v>
      </c>
    </row>
    <row r="371" spans="2:3" x14ac:dyDescent="0.3">
      <c r="B371" s="87">
        <v>45749</v>
      </c>
      <c r="C371">
        <v>23332.35</v>
      </c>
    </row>
    <row r="372" spans="2:3" x14ac:dyDescent="0.3">
      <c r="B372" s="87">
        <v>45748</v>
      </c>
      <c r="C372">
        <v>23165.7</v>
      </c>
    </row>
    <row r="373" spans="2:3" x14ac:dyDescent="0.3">
      <c r="B373" s="87">
        <v>45744</v>
      </c>
      <c r="C373">
        <v>23519.35</v>
      </c>
    </row>
    <row r="374" spans="2:3" x14ac:dyDescent="0.3">
      <c r="B374" s="87">
        <v>45743</v>
      </c>
      <c r="C374">
        <v>23591.95</v>
      </c>
    </row>
    <row r="375" spans="2:3" x14ac:dyDescent="0.3">
      <c r="B375" s="87">
        <v>45742</v>
      </c>
      <c r="C375">
        <v>23486.85</v>
      </c>
    </row>
    <row r="376" spans="2:3" x14ac:dyDescent="0.3">
      <c r="B376" s="87">
        <v>45741</v>
      </c>
      <c r="C376">
        <v>23668.65</v>
      </c>
    </row>
    <row r="377" spans="2:3" x14ac:dyDescent="0.3">
      <c r="B377" s="87">
        <v>45740</v>
      </c>
      <c r="C377">
        <v>23658.35</v>
      </c>
    </row>
    <row r="378" spans="2:3" x14ac:dyDescent="0.3">
      <c r="B378" s="87">
        <v>45737</v>
      </c>
      <c r="C378">
        <v>23350.400000000001</v>
      </c>
    </row>
    <row r="379" spans="2:3" x14ac:dyDescent="0.3">
      <c r="B379" s="87">
        <v>45736</v>
      </c>
      <c r="C379">
        <v>23190.65</v>
      </c>
    </row>
    <row r="380" spans="2:3" x14ac:dyDescent="0.3">
      <c r="B380" s="87">
        <v>45735</v>
      </c>
      <c r="C380">
        <v>22907.599999999999</v>
      </c>
    </row>
    <row r="381" spans="2:3" x14ac:dyDescent="0.3">
      <c r="B381" s="87">
        <v>45734</v>
      </c>
      <c r="C381">
        <v>22834.3</v>
      </c>
    </row>
    <row r="382" spans="2:3" x14ac:dyDescent="0.3">
      <c r="B382" s="87">
        <v>45733</v>
      </c>
      <c r="C382">
        <v>22508.75</v>
      </c>
    </row>
    <row r="383" spans="2:3" x14ac:dyDescent="0.3">
      <c r="B383" s="87">
        <v>45729</v>
      </c>
      <c r="C383">
        <v>22397.200000000001</v>
      </c>
    </row>
    <row r="384" spans="2:3" x14ac:dyDescent="0.3">
      <c r="B384" s="87">
        <v>45728</v>
      </c>
      <c r="C384">
        <v>22470.5</v>
      </c>
    </row>
    <row r="385" spans="2:3" x14ac:dyDescent="0.3">
      <c r="B385" s="87">
        <v>45727</v>
      </c>
      <c r="C385">
        <v>22497.9</v>
      </c>
    </row>
    <row r="386" spans="2:3" x14ac:dyDescent="0.3">
      <c r="B386" s="87">
        <v>45726</v>
      </c>
      <c r="C386">
        <v>22460.3</v>
      </c>
    </row>
    <row r="387" spans="2:3" x14ac:dyDescent="0.3">
      <c r="B387" s="87">
        <v>45723</v>
      </c>
      <c r="C387">
        <v>22552.5</v>
      </c>
    </row>
    <row r="388" spans="2:3" x14ac:dyDescent="0.3">
      <c r="B388" s="87">
        <v>45722</v>
      </c>
      <c r="C388">
        <v>22544.7</v>
      </c>
    </row>
    <row r="389" spans="2:3" x14ac:dyDescent="0.3">
      <c r="B389" s="87">
        <v>45721</v>
      </c>
      <c r="C389">
        <v>22337.3</v>
      </c>
    </row>
    <row r="390" spans="2:3" x14ac:dyDescent="0.3">
      <c r="B390" s="87">
        <v>45720</v>
      </c>
      <c r="C390">
        <v>22082.65</v>
      </c>
    </row>
    <row r="391" spans="2:3" x14ac:dyDescent="0.3">
      <c r="B391" s="87">
        <v>45719</v>
      </c>
      <c r="C391">
        <v>22119.3</v>
      </c>
    </row>
    <row r="392" spans="2:3" x14ac:dyDescent="0.3">
      <c r="B392" s="87">
        <v>45716</v>
      </c>
      <c r="C392">
        <v>22124.7</v>
      </c>
    </row>
    <row r="393" spans="2:3" x14ac:dyDescent="0.3">
      <c r="B393" s="87">
        <v>45715</v>
      </c>
      <c r="C393">
        <v>22545.05</v>
      </c>
    </row>
    <row r="394" spans="2:3" x14ac:dyDescent="0.3">
      <c r="B394" s="87">
        <v>45713</v>
      </c>
      <c r="C394">
        <v>22547.55</v>
      </c>
    </row>
    <row r="395" spans="2:3" x14ac:dyDescent="0.3">
      <c r="B395" s="87">
        <v>45712</v>
      </c>
      <c r="C395">
        <v>22553.35</v>
      </c>
    </row>
    <row r="396" spans="2:3" x14ac:dyDescent="0.3">
      <c r="B396" s="87">
        <v>45709</v>
      </c>
      <c r="C396">
        <v>22795.9</v>
      </c>
    </row>
    <row r="397" spans="2:3" x14ac:dyDescent="0.3">
      <c r="B397" s="87">
        <v>45708</v>
      </c>
      <c r="C397">
        <v>22913.15</v>
      </c>
    </row>
    <row r="398" spans="2:3" x14ac:dyDescent="0.3">
      <c r="B398" s="87">
        <v>45707</v>
      </c>
      <c r="C398">
        <v>22932.9</v>
      </c>
    </row>
    <row r="399" spans="2:3" x14ac:dyDescent="0.3">
      <c r="B399" s="87">
        <v>45706</v>
      </c>
      <c r="C399">
        <v>22945.3</v>
      </c>
    </row>
    <row r="400" spans="2:3" x14ac:dyDescent="0.3">
      <c r="B400" s="87">
        <v>45705</v>
      </c>
      <c r="C400">
        <v>22959.5</v>
      </c>
    </row>
    <row r="401" spans="2:3" x14ac:dyDescent="0.3">
      <c r="B401" s="87">
        <v>45702</v>
      </c>
      <c r="C401">
        <v>22929.25</v>
      </c>
    </row>
    <row r="402" spans="2:3" x14ac:dyDescent="0.3">
      <c r="B402" s="87">
        <v>45701</v>
      </c>
      <c r="C402">
        <v>23031.4</v>
      </c>
    </row>
    <row r="403" spans="2:3" x14ac:dyDescent="0.3">
      <c r="B403" s="87">
        <v>45700</v>
      </c>
      <c r="C403">
        <v>23045.25</v>
      </c>
    </row>
    <row r="404" spans="2:3" x14ac:dyDescent="0.3">
      <c r="B404" s="87">
        <v>45699</v>
      </c>
      <c r="C404">
        <v>23071.8</v>
      </c>
    </row>
    <row r="405" spans="2:3" x14ac:dyDescent="0.3">
      <c r="B405" s="87">
        <v>45698</v>
      </c>
      <c r="C405">
        <v>23381.599999999999</v>
      </c>
    </row>
    <row r="406" spans="2:3" x14ac:dyDescent="0.3">
      <c r="B406" s="87">
        <v>45695</v>
      </c>
      <c r="C406">
        <v>23559.95</v>
      </c>
    </row>
    <row r="407" spans="2:3" x14ac:dyDescent="0.3">
      <c r="B407" s="87">
        <v>45694</v>
      </c>
      <c r="C407">
        <v>23603.35</v>
      </c>
    </row>
    <row r="408" spans="2:3" x14ac:dyDescent="0.3">
      <c r="B408" s="87">
        <v>45693</v>
      </c>
      <c r="C408">
        <v>23696.3</v>
      </c>
    </row>
    <row r="409" spans="2:3" x14ac:dyDescent="0.3">
      <c r="B409" s="87">
        <v>45692</v>
      </c>
      <c r="C409">
        <v>23739.25</v>
      </c>
    </row>
    <row r="410" spans="2:3" x14ac:dyDescent="0.3">
      <c r="B410" s="87">
        <v>45691</v>
      </c>
      <c r="C410">
        <v>23361.05</v>
      </c>
    </row>
    <row r="411" spans="2:3" x14ac:dyDescent="0.3">
      <c r="B411" s="87">
        <v>45689</v>
      </c>
      <c r="C411">
        <v>23482.15</v>
      </c>
    </row>
    <row r="412" spans="2:3" x14ac:dyDescent="0.3">
      <c r="B412" s="87">
        <v>45688</v>
      </c>
      <c r="C412">
        <v>23508.400000000001</v>
      </c>
    </row>
    <row r="413" spans="2:3" x14ac:dyDescent="0.3">
      <c r="B413" s="87">
        <v>45687</v>
      </c>
      <c r="C413">
        <v>23249.5</v>
      </c>
    </row>
    <row r="414" spans="2:3" x14ac:dyDescent="0.3">
      <c r="B414" s="87">
        <v>45686</v>
      </c>
      <c r="C414">
        <v>23163.1</v>
      </c>
    </row>
    <row r="415" spans="2:3" x14ac:dyDescent="0.3">
      <c r="B415" s="87">
        <v>45685</v>
      </c>
      <c r="C415">
        <v>22957.25</v>
      </c>
    </row>
    <row r="416" spans="2:3" x14ac:dyDescent="0.3">
      <c r="B416" s="87">
        <v>45684</v>
      </c>
      <c r="C416">
        <v>22829.15</v>
      </c>
    </row>
    <row r="417" spans="2:3" x14ac:dyDescent="0.3">
      <c r="B417" s="87">
        <v>45681</v>
      </c>
      <c r="C417">
        <v>23092.2</v>
      </c>
    </row>
    <row r="418" spans="2:3" x14ac:dyDescent="0.3">
      <c r="B418" s="87">
        <v>45680</v>
      </c>
      <c r="C418">
        <v>23205.35</v>
      </c>
    </row>
    <row r="419" spans="2:3" x14ac:dyDescent="0.3">
      <c r="B419" s="87">
        <v>45679</v>
      </c>
      <c r="C419">
        <v>23155.35</v>
      </c>
    </row>
    <row r="420" spans="2:3" x14ac:dyDescent="0.3">
      <c r="B420" s="87">
        <v>45678</v>
      </c>
      <c r="C420">
        <v>23024.65</v>
      </c>
    </row>
    <row r="421" spans="2:3" x14ac:dyDescent="0.3">
      <c r="B421" s="87">
        <v>45677</v>
      </c>
      <c r="C421">
        <v>23344.75</v>
      </c>
    </row>
    <row r="422" spans="2:3" x14ac:dyDescent="0.3">
      <c r="B422" s="87">
        <v>45674</v>
      </c>
      <c r="C422">
        <v>23203.200000000001</v>
      </c>
    </row>
    <row r="423" spans="2:3" x14ac:dyDescent="0.3">
      <c r="B423" s="87">
        <v>45673</v>
      </c>
      <c r="C423">
        <v>23311.8</v>
      </c>
    </row>
    <row r="424" spans="2:3" x14ac:dyDescent="0.3">
      <c r="B424" s="87">
        <v>45672</v>
      </c>
      <c r="C424">
        <v>23213.200000000001</v>
      </c>
    </row>
    <row r="425" spans="2:3" x14ac:dyDescent="0.3">
      <c r="B425" s="87">
        <v>45671</v>
      </c>
      <c r="C425">
        <v>23176.05</v>
      </c>
    </row>
    <row r="426" spans="2:3" x14ac:dyDescent="0.3">
      <c r="B426" s="87">
        <v>45670</v>
      </c>
      <c r="C426">
        <v>23085.95</v>
      </c>
    </row>
    <row r="427" spans="2:3" x14ac:dyDescent="0.3">
      <c r="B427" s="87">
        <v>45667</v>
      </c>
      <c r="C427">
        <v>23431.5</v>
      </c>
    </row>
    <row r="428" spans="2:3" x14ac:dyDescent="0.3">
      <c r="B428" s="87">
        <v>45666</v>
      </c>
      <c r="C428">
        <v>23526.5</v>
      </c>
    </row>
    <row r="429" spans="2:3" x14ac:dyDescent="0.3">
      <c r="B429" s="87">
        <v>45665</v>
      </c>
      <c r="C429">
        <v>23688.95</v>
      </c>
    </row>
    <row r="430" spans="2:3" x14ac:dyDescent="0.3">
      <c r="B430" s="87">
        <v>45664</v>
      </c>
      <c r="C430">
        <v>23707.9</v>
      </c>
    </row>
    <row r="431" spans="2:3" x14ac:dyDescent="0.3">
      <c r="B431" s="87">
        <v>45663</v>
      </c>
      <c r="C431">
        <v>23616.05</v>
      </c>
    </row>
    <row r="432" spans="2:3" x14ac:dyDescent="0.3">
      <c r="B432" s="87">
        <v>45660</v>
      </c>
      <c r="C432">
        <v>24004.75</v>
      </c>
    </row>
    <row r="433" spans="2:3" x14ac:dyDescent="0.3">
      <c r="B433" s="87">
        <v>45659</v>
      </c>
      <c r="C433">
        <v>24188.65</v>
      </c>
    </row>
    <row r="434" spans="2:3" x14ac:dyDescent="0.3">
      <c r="B434" s="87">
        <v>45658</v>
      </c>
      <c r="C434">
        <v>23742.9</v>
      </c>
    </row>
    <row r="435" spans="2:3" x14ac:dyDescent="0.3">
      <c r="B435" s="87">
        <v>45657</v>
      </c>
      <c r="C435">
        <v>23644.799999999999</v>
      </c>
    </row>
    <row r="436" spans="2:3" x14ac:dyDescent="0.3">
      <c r="B436" s="87">
        <v>45656</v>
      </c>
      <c r="C436">
        <v>23644.9</v>
      </c>
    </row>
    <row r="437" spans="2:3" x14ac:dyDescent="0.3">
      <c r="B437" s="87">
        <v>45653</v>
      </c>
      <c r="C437">
        <v>23813.4</v>
      </c>
    </row>
    <row r="438" spans="2:3" x14ac:dyDescent="0.3">
      <c r="B438" s="87">
        <v>45652</v>
      </c>
      <c r="C438">
        <v>23750.2</v>
      </c>
    </row>
    <row r="439" spans="2:3" x14ac:dyDescent="0.3">
      <c r="B439" s="87">
        <v>45650</v>
      </c>
      <c r="C439">
        <v>23727.65</v>
      </c>
    </row>
    <row r="440" spans="2:3" x14ac:dyDescent="0.3">
      <c r="B440" s="87">
        <v>45649</v>
      </c>
      <c r="C440">
        <v>23753.45</v>
      </c>
    </row>
    <row r="441" spans="2:3" x14ac:dyDescent="0.3">
      <c r="B441" s="87">
        <v>45646</v>
      </c>
      <c r="C441">
        <v>23587.5</v>
      </c>
    </row>
    <row r="442" spans="2:3" x14ac:dyDescent="0.3">
      <c r="B442" s="87">
        <v>45645</v>
      </c>
      <c r="C442">
        <v>23951.7</v>
      </c>
    </row>
    <row r="443" spans="2:3" x14ac:dyDescent="0.3">
      <c r="B443" s="87">
        <v>45644</v>
      </c>
      <c r="C443">
        <v>24198.85</v>
      </c>
    </row>
    <row r="444" spans="2:3" x14ac:dyDescent="0.3">
      <c r="B444" s="87">
        <v>45643</v>
      </c>
      <c r="C444">
        <v>24336</v>
      </c>
    </row>
    <row r="445" spans="2:3" x14ac:dyDescent="0.3">
      <c r="B445" s="87">
        <v>45642</v>
      </c>
      <c r="C445">
        <v>24668.25</v>
      </c>
    </row>
    <row r="446" spans="2:3" x14ac:dyDescent="0.3">
      <c r="B446" s="87">
        <v>45639</v>
      </c>
      <c r="C446">
        <v>24768.3</v>
      </c>
    </row>
    <row r="447" spans="2:3" x14ac:dyDescent="0.3">
      <c r="B447" s="87">
        <v>45638</v>
      </c>
      <c r="C447">
        <v>24548.7</v>
      </c>
    </row>
    <row r="448" spans="2:3" x14ac:dyDescent="0.3">
      <c r="B448" s="87">
        <v>45637</v>
      </c>
      <c r="C448">
        <v>24641.8</v>
      </c>
    </row>
    <row r="449" spans="2:3" x14ac:dyDescent="0.3">
      <c r="B449" s="87">
        <v>45636</v>
      </c>
      <c r="C449">
        <v>24610.05</v>
      </c>
    </row>
    <row r="450" spans="2:3" x14ac:dyDescent="0.3">
      <c r="B450" s="87">
        <v>45635</v>
      </c>
      <c r="C450">
        <v>24619</v>
      </c>
    </row>
    <row r="451" spans="2:3" x14ac:dyDescent="0.3">
      <c r="B451" s="87">
        <v>45632</v>
      </c>
      <c r="C451">
        <v>24677.8</v>
      </c>
    </row>
    <row r="452" spans="2:3" x14ac:dyDescent="0.3">
      <c r="B452" s="87">
        <v>45631</v>
      </c>
      <c r="C452">
        <v>24708.400000000001</v>
      </c>
    </row>
    <row r="453" spans="2:3" x14ac:dyDescent="0.3">
      <c r="B453" s="87">
        <v>45630</v>
      </c>
      <c r="C453">
        <v>24467.45</v>
      </c>
    </row>
    <row r="454" spans="2:3" x14ac:dyDescent="0.3">
      <c r="B454" s="87">
        <v>45629</v>
      </c>
      <c r="C454">
        <v>24457.15</v>
      </c>
    </row>
    <row r="455" spans="2:3" x14ac:dyDescent="0.3">
      <c r="B455" s="87">
        <v>45628</v>
      </c>
      <c r="C455">
        <v>24276.05</v>
      </c>
    </row>
    <row r="456" spans="2:3" x14ac:dyDescent="0.3">
      <c r="B456" s="87">
        <v>45625</v>
      </c>
      <c r="C456">
        <v>24131.1</v>
      </c>
    </row>
    <row r="457" spans="2:3" x14ac:dyDescent="0.3">
      <c r="B457" s="87">
        <v>45624</v>
      </c>
      <c r="C457">
        <v>23914.15</v>
      </c>
    </row>
    <row r="458" spans="2:3" x14ac:dyDescent="0.3">
      <c r="B458" s="87">
        <v>45623</v>
      </c>
      <c r="C458">
        <v>24274.9</v>
      </c>
    </row>
    <row r="459" spans="2:3" x14ac:dyDescent="0.3">
      <c r="B459" s="87">
        <v>45622</v>
      </c>
      <c r="C459">
        <v>24194.5</v>
      </c>
    </row>
    <row r="460" spans="2:3" x14ac:dyDescent="0.3">
      <c r="B460" s="87">
        <v>45621</v>
      </c>
      <c r="C460">
        <v>24221.9</v>
      </c>
    </row>
    <row r="461" spans="2:3" x14ac:dyDescent="0.3">
      <c r="B461" s="87">
        <v>45618</v>
      </c>
      <c r="C461">
        <v>23907.25</v>
      </c>
    </row>
    <row r="462" spans="2:3" x14ac:dyDescent="0.3">
      <c r="B462" s="87">
        <v>45617</v>
      </c>
      <c r="C462">
        <v>23349.9</v>
      </c>
    </row>
    <row r="463" spans="2:3" x14ac:dyDescent="0.3">
      <c r="B463" s="87">
        <v>45615</v>
      </c>
      <c r="C463">
        <v>23518.5</v>
      </c>
    </row>
    <row r="464" spans="2:3" x14ac:dyDescent="0.3">
      <c r="B464" s="87">
        <v>45614</v>
      </c>
      <c r="C464">
        <v>23453.8</v>
      </c>
    </row>
    <row r="465" spans="2:3" x14ac:dyDescent="0.3">
      <c r="B465" s="87">
        <v>45610</v>
      </c>
      <c r="C465">
        <v>23532.7</v>
      </c>
    </row>
    <row r="466" spans="2:3" x14ac:dyDescent="0.3">
      <c r="B466" s="87">
        <v>45609</v>
      </c>
      <c r="C466">
        <v>23559.05</v>
      </c>
    </row>
    <row r="467" spans="2:3" x14ac:dyDescent="0.3">
      <c r="B467" s="87">
        <v>45608</v>
      </c>
      <c r="C467">
        <v>23883.45</v>
      </c>
    </row>
    <row r="468" spans="2:3" x14ac:dyDescent="0.3">
      <c r="B468" s="87">
        <v>45607</v>
      </c>
      <c r="C468">
        <v>24141.3</v>
      </c>
    </row>
    <row r="469" spans="2:3" x14ac:dyDescent="0.3">
      <c r="B469" s="87">
        <v>45604</v>
      </c>
      <c r="C469">
        <v>24148.2</v>
      </c>
    </row>
    <row r="470" spans="2:3" x14ac:dyDescent="0.3">
      <c r="B470" s="87">
        <v>45603</v>
      </c>
      <c r="C470">
        <v>24199.35</v>
      </c>
    </row>
    <row r="471" spans="2:3" x14ac:dyDescent="0.3">
      <c r="B471" s="87">
        <v>45602</v>
      </c>
      <c r="C471">
        <v>24484.05</v>
      </c>
    </row>
    <row r="472" spans="2:3" x14ac:dyDescent="0.3">
      <c r="B472" s="87">
        <v>45601</v>
      </c>
      <c r="C472">
        <v>24213.3</v>
      </c>
    </row>
    <row r="473" spans="2:3" x14ac:dyDescent="0.3">
      <c r="B473" s="87">
        <v>45600</v>
      </c>
      <c r="C473">
        <v>23995.35</v>
      </c>
    </row>
    <row r="474" spans="2:3" x14ac:dyDescent="0.3">
      <c r="B474" s="87">
        <v>45597</v>
      </c>
      <c r="C474">
        <v>24304.35</v>
      </c>
    </row>
    <row r="475" spans="2:3" x14ac:dyDescent="0.3">
      <c r="B475" s="87">
        <v>45596</v>
      </c>
      <c r="C475">
        <v>24205.35</v>
      </c>
    </row>
    <row r="476" spans="2:3" x14ac:dyDescent="0.3">
      <c r="B476" s="87">
        <v>45595</v>
      </c>
      <c r="C476">
        <v>24340.85</v>
      </c>
    </row>
    <row r="477" spans="2:3" x14ac:dyDescent="0.3">
      <c r="B477" s="87">
        <v>45594</v>
      </c>
      <c r="C477">
        <v>24466.85</v>
      </c>
    </row>
    <row r="478" spans="2:3" x14ac:dyDescent="0.3">
      <c r="B478" s="87">
        <v>45593</v>
      </c>
      <c r="C478">
        <v>24339.15</v>
      </c>
    </row>
    <row r="479" spans="2:3" x14ac:dyDescent="0.3">
      <c r="B479" s="87">
        <v>45590</v>
      </c>
      <c r="C479">
        <v>24180.799999999999</v>
      </c>
    </row>
    <row r="480" spans="2:3" x14ac:dyDescent="0.3">
      <c r="B480" s="87">
        <v>45589</v>
      </c>
      <c r="C480">
        <v>24399.4</v>
      </c>
    </row>
    <row r="481" spans="2:3" x14ac:dyDescent="0.3">
      <c r="B481" s="87">
        <v>45588</v>
      </c>
      <c r="C481">
        <v>24435.5</v>
      </c>
    </row>
    <row r="482" spans="2:3" x14ac:dyDescent="0.3">
      <c r="B482" s="87">
        <v>45587</v>
      </c>
      <c r="C482">
        <v>24472.1</v>
      </c>
    </row>
    <row r="483" spans="2:3" x14ac:dyDescent="0.3">
      <c r="B483" s="87">
        <v>45586</v>
      </c>
      <c r="C483">
        <v>24781.1</v>
      </c>
    </row>
    <row r="484" spans="2:3" x14ac:dyDescent="0.3">
      <c r="B484" s="87">
        <v>45583</v>
      </c>
      <c r="C484">
        <v>24854.05</v>
      </c>
    </row>
    <row r="485" spans="2:3" x14ac:dyDescent="0.3">
      <c r="B485" s="87">
        <v>45582</v>
      </c>
      <c r="C485">
        <v>24749.85</v>
      </c>
    </row>
    <row r="486" spans="2:3" x14ac:dyDescent="0.3">
      <c r="B486" s="87">
        <v>45581</v>
      </c>
      <c r="C486">
        <v>24971.3</v>
      </c>
    </row>
    <row r="487" spans="2:3" x14ac:dyDescent="0.3">
      <c r="B487" s="87">
        <v>45580</v>
      </c>
      <c r="C487">
        <v>25057.35</v>
      </c>
    </row>
    <row r="488" spans="2:3" x14ac:dyDescent="0.3">
      <c r="B488" s="87">
        <v>45579</v>
      </c>
      <c r="C488">
        <v>25127.95</v>
      </c>
    </row>
    <row r="489" spans="2:3" x14ac:dyDescent="0.3">
      <c r="B489" s="87">
        <v>45576</v>
      </c>
      <c r="C489">
        <v>24964.25</v>
      </c>
    </row>
    <row r="490" spans="2:3" x14ac:dyDescent="0.3">
      <c r="B490" s="87">
        <v>45575</v>
      </c>
      <c r="C490">
        <v>24998.45</v>
      </c>
    </row>
    <row r="491" spans="2:3" x14ac:dyDescent="0.3">
      <c r="B491" s="87">
        <v>45574</v>
      </c>
      <c r="C491">
        <v>24981.95</v>
      </c>
    </row>
    <row r="492" spans="2:3" x14ac:dyDescent="0.3">
      <c r="B492" s="87">
        <v>45573</v>
      </c>
      <c r="C492">
        <v>25013.15</v>
      </c>
    </row>
    <row r="493" spans="2:3" x14ac:dyDescent="0.3">
      <c r="B493" s="87">
        <v>45572</v>
      </c>
      <c r="C493">
        <v>24795.75</v>
      </c>
    </row>
    <row r="494" spans="2:3" x14ac:dyDescent="0.3">
      <c r="B494" s="87">
        <v>45569</v>
      </c>
      <c r="C494">
        <v>25014.6</v>
      </c>
    </row>
    <row r="495" spans="2:3" x14ac:dyDescent="0.3">
      <c r="B495" s="87">
        <v>45568</v>
      </c>
      <c r="C495">
        <v>25250.1</v>
      </c>
    </row>
    <row r="496" spans="2:3" x14ac:dyDescent="0.3">
      <c r="B496" s="87">
        <v>45566</v>
      </c>
      <c r="C496">
        <v>25796.9</v>
      </c>
    </row>
    <row r="497" spans="2:3" x14ac:dyDescent="0.3">
      <c r="B497" s="87">
        <v>45565</v>
      </c>
      <c r="C497">
        <v>25810.85</v>
      </c>
    </row>
    <row r="498" spans="2:3" x14ac:dyDescent="0.3">
      <c r="B498" s="87">
        <v>45562</v>
      </c>
      <c r="C498">
        <v>26178.95</v>
      </c>
    </row>
    <row r="499" spans="2:3" x14ac:dyDescent="0.3">
      <c r="B499" s="87">
        <v>45561</v>
      </c>
      <c r="C499">
        <v>26216.05</v>
      </c>
    </row>
    <row r="500" spans="2:3" x14ac:dyDescent="0.3">
      <c r="B500" s="87">
        <v>45560</v>
      </c>
      <c r="C500">
        <v>26004.15</v>
      </c>
    </row>
    <row r="501" spans="2:3" x14ac:dyDescent="0.3">
      <c r="B501" s="87">
        <v>45559</v>
      </c>
      <c r="C501">
        <v>25940.400000000001</v>
      </c>
    </row>
    <row r="502" spans="2:3" x14ac:dyDescent="0.3">
      <c r="B502" s="87">
        <v>45558</v>
      </c>
      <c r="C502">
        <v>25939.05</v>
      </c>
    </row>
    <row r="503" spans="2:3" x14ac:dyDescent="0.3">
      <c r="B503" s="87">
        <v>45555</v>
      </c>
      <c r="C503">
        <v>25790.95</v>
      </c>
    </row>
    <row r="504" spans="2:3" x14ac:dyDescent="0.3">
      <c r="B504" s="87">
        <v>45554</v>
      </c>
      <c r="C504">
        <v>25415.8</v>
      </c>
    </row>
    <row r="505" spans="2:3" x14ac:dyDescent="0.3">
      <c r="B505" s="87">
        <v>45553</v>
      </c>
      <c r="C505">
        <v>25377.55</v>
      </c>
    </row>
    <row r="506" spans="2:3" x14ac:dyDescent="0.3">
      <c r="B506" s="87">
        <v>45552</v>
      </c>
      <c r="C506">
        <v>25418.55</v>
      </c>
    </row>
    <row r="507" spans="2:3" x14ac:dyDescent="0.3">
      <c r="B507" s="87">
        <v>45551</v>
      </c>
      <c r="C507">
        <v>25383.75</v>
      </c>
    </row>
    <row r="508" spans="2:3" x14ac:dyDescent="0.3">
      <c r="B508" s="87">
        <v>45548</v>
      </c>
      <c r="C508">
        <v>25356.5</v>
      </c>
    </row>
    <row r="509" spans="2:3" x14ac:dyDescent="0.3">
      <c r="B509" s="87">
        <v>45547</v>
      </c>
      <c r="C509">
        <v>25388.9</v>
      </c>
    </row>
    <row r="510" spans="2:3" x14ac:dyDescent="0.3">
      <c r="B510" s="87">
        <v>45546</v>
      </c>
      <c r="C510">
        <v>24918.45</v>
      </c>
    </row>
    <row r="511" spans="2:3" x14ac:dyDescent="0.3">
      <c r="B511" s="87">
        <v>45545</v>
      </c>
      <c r="C511">
        <v>25041.1</v>
      </c>
    </row>
    <row r="512" spans="2:3" x14ac:dyDescent="0.3">
      <c r="B512" s="87">
        <v>45544</v>
      </c>
      <c r="C512">
        <v>24936.400000000001</v>
      </c>
    </row>
    <row r="513" spans="2:3" x14ac:dyDescent="0.3">
      <c r="B513" s="87">
        <v>45541</v>
      </c>
      <c r="C513">
        <v>24852.15</v>
      </c>
    </row>
    <row r="514" spans="2:3" x14ac:dyDescent="0.3">
      <c r="B514" s="87">
        <v>45540</v>
      </c>
      <c r="C514">
        <v>25145.1</v>
      </c>
    </row>
    <row r="515" spans="2:3" x14ac:dyDescent="0.3">
      <c r="B515" s="87">
        <v>45539</v>
      </c>
      <c r="C515">
        <v>25198.7</v>
      </c>
    </row>
    <row r="516" spans="2:3" x14ac:dyDescent="0.3">
      <c r="B516" s="87">
        <v>45538</v>
      </c>
      <c r="C516">
        <v>25279.85</v>
      </c>
    </row>
    <row r="517" spans="2:3" x14ac:dyDescent="0.3">
      <c r="B517" s="87">
        <v>45537</v>
      </c>
      <c r="C517">
        <v>25278.7</v>
      </c>
    </row>
    <row r="518" spans="2:3" x14ac:dyDescent="0.3">
      <c r="B518" s="87">
        <v>45534</v>
      </c>
      <c r="C518">
        <v>25235.9</v>
      </c>
    </row>
    <row r="519" spans="2:3" x14ac:dyDescent="0.3">
      <c r="B519" s="87">
        <v>45533</v>
      </c>
      <c r="C519">
        <v>25151.95</v>
      </c>
    </row>
    <row r="520" spans="2:3" x14ac:dyDescent="0.3">
      <c r="B520" s="87">
        <v>45532</v>
      </c>
      <c r="C520">
        <v>25052.35</v>
      </c>
    </row>
    <row r="521" spans="2:3" x14ac:dyDescent="0.3">
      <c r="B521" s="87">
        <v>45531</v>
      </c>
      <c r="C521">
        <v>25017.75</v>
      </c>
    </row>
    <row r="522" spans="2:3" x14ac:dyDescent="0.3">
      <c r="B522" s="87">
        <v>45530</v>
      </c>
      <c r="C522">
        <v>25010.6</v>
      </c>
    </row>
    <row r="523" spans="2:3" x14ac:dyDescent="0.3">
      <c r="B523" s="87">
        <v>45527</v>
      </c>
      <c r="C523">
        <v>24823.15</v>
      </c>
    </row>
    <row r="524" spans="2:3" x14ac:dyDescent="0.3">
      <c r="B524" s="87">
        <v>45526</v>
      </c>
      <c r="C524">
        <v>24811.5</v>
      </c>
    </row>
    <row r="525" spans="2:3" x14ac:dyDescent="0.3">
      <c r="B525" s="87">
        <v>45525</v>
      </c>
      <c r="C525">
        <v>24770.2</v>
      </c>
    </row>
    <row r="526" spans="2:3" x14ac:dyDescent="0.3">
      <c r="B526" s="87">
        <v>45524</v>
      </c>
      <c r="C526">
        <v>24698.85</v>
      </c>
    </row>
    <row r="527" spans="2:3" x14ac:dyDescent="0.3">
      <c r="B527" s="87">
        <v>45523</v>
      </c>
      <c r="C527">
        <v>24572.65</v>
      </c>
    </row>
    <row r="528" spans="2:3" x14ac:dyDescent="0.3">
      <c r="B528" s="87">
        <v>45520</v>
      </c>
      <c r="C528">
        <v>24541.15</v>
      </c>
    </row>
    <row r="529" spans="2:3" x14ac:dyDescent="0.3">
      <c r="B529" s="87">
        <v>45518</v>
      </c>
      <c r="C529">
        <v>24143.75</v>
      </c>
    </row>
    <row r="530" spans="2:3" x14ac:dyDescent="0.3">
      <c r="B530" s="87">
        <v>45517</v>
      </c>
      <c r="C530">
        <v>24139</v>
      </c>
    </row>
    <row r="531" spans="2:3" x14ac:dyDescent="0.3">
      <c r="B531" s="87">
        <v>45516</v>
      </c>
      <c r="C531">
        <v>24347</v>
      </c>
    </row>
    <row r="532" spans="2:3" x14ac:dyDescent="0.3">
      <c r="B532" s="87">
        <v>45513</v>
      </c>
      <c r="C532">
        <v>24367.5</v>
      </c>
    </row>
    <row r="533" spans="2:3" x14ac:dyDescent="0.3">
      <c r="B533" s="87">
        <v>45512</v>
      </c>
      <c r="C533">
        <v>24117</v>
      </c>
    </row>
    <row r="534" spans="2:3" x14ac:dyDescent="0.3">
      <c r="B534" s="87">
        <v>45510</v>
      </c>
      <c r="C534">
        <v>23992.55</v>
      </c>
    </row>
    <row r="535" spans="2:3" x14ac:dyDescent="0.3">
      <c r="B535" s="87">
        <v>45509</v>
      </c>
      <c r="C535">
        <v>24055.599999999999</v>
      </c>
    </row>
    <row r="536" spans="2:3" x14ac:dyDescent="0.3">
      <c r="B536" s="87">
        <v>45506</v>
      </c>
      <c r="C536">
        <v>24717.7</v>
      </c>
    </row>
    <row r="537" spans="2:3" x14ac:dyDescent="0.3">
      <c r="B537" s="87">
        <v>45505</v>
      </c>
      <c r="C537">
        <v>25010.9</v>
      </c>
    </row>
    <row r="538" spans="2:3" x14ac:dyDescent="0.3">
      <c r="B538" s="87">
        <v>45504</v>
      </c>
      <c r="C538">
        <v>24951.15</v>
      </c>
    </row>
    <row r="539" spans="2:3" x14ac:dyDescent="0.3">
      <c r="B539" s="87">
        <v>45503</v>
      </c>
      <c r="C539">
        <v>24857.3</v>
      </c>
    </row>
    <row r="540" spans="2:3" x14ac:dyDescent="0.3">
      <c r="B540" s="87">
        <v>45502</v>
      </c>
      <c r="C540">
        <v>24836.1</v>
      </c>
    </row>
    <row r="541" spans="2:3" x14ac:dyDescent="0.3">
      <c r="B541" s="87">
        <v>45499</v>
      </c>
      <c r="C541">
        <v>24834.85</v>
      </c>
    </row>
    <row r="542" spans="2:3" x14ac:dyDescent="0.3">
      <c r="B542" s="87">
        <v>45498</v>
      </c>
      <c r="C542">
        <v>24406.1</v>
      </c>
    </row>
    <row r="543" spans="2:3" x14ac:dyDescent="0.3">
      <c r="B543" s="87">
        <v>45497</v>
      </c>
      <c r="C543">
        <v>24413.5</v>
      </c>
    </row>
    <row r="544" spans="2:3" x14ac:dyDescent="0.3">
      <c r="B544" s="87">
        <v>45496</v>
      </c>
      <c r="C544">
        <v>24479.05</v>
      </c>
    </row>
    <row r="545" spans="2:3" x14ac:dyDescent="0.3">
      <c r="B545" s="87">
        <v>45495</v>
      </c>
      <c r="C545">
        <v>24509.25</v>
      </c>
    </row>
    <row r="546" spans="2:3" x14ac:dyDescent="0.3">
      <c r="B546" s="87">
        <v>45492</v>
      </c>
      <c r="C546">
        <v>24530.9</v>
      </c>
    </row>
    <row r="547" spans="2:3" x14ac:dyDescent="0.3">
      <c r="B547" s="87">
        <v>45491</v>
      </c>
      <c r="C547">
        <v>24800.85</v>
      </c>
    </row>
    <row r="548" spans="2:3" x14ac:dyDescent="0.3">
      <c r="B548" s="87">
        <v>45489</v>
      </c>
      <c r="C548">
        <v>24613</v>
      </c>
    </row>
    <row r="549" spans="2:3" x14ac:dyDescent="0.3">
      <c r="B549" s="87">
        <v>45488</v>
      </c>
      <c r="C549">
        <v>24586.7</v>
      </c>
    </row>
    <row r="550" spans="2:3" x14ac:dyDescent="0.3">
      <c r="B550" s="87">
        <v>45485</v>
      </c>
      <c r="C550">
        <v>24502.15</v>
      </c>
    </row>
    <row r="551" spans="2:3" x14ac:dyDescent="0.3">
      <c r="B551" s="87">
        <v>45484</v>
      </c>
      <c r="C551">
        <v>24315.95</v>
      </c>
    </row>
    <row r="552" spans="2:3" x14ac:dyDescent="0.3">
      <c r="B552" s="87">
        <v>45483</v>
      </c>
      <c r="C552">
        <v>24324.45</v>
      </c>
    </row>
    <row r="553" spans="2:3" x14ac:dyDescent="0.3">
      <c r="B553" s="87">
        <v>45482</v>
      </c>
      <c r="C553">
        <v>24433.200000000001</v>
      </c>
    </row>
    <row r="554" spans="2:3" x14ac:dyDescent="0.3">
      <c r="B554" s="87">
        <v>45481</v>
      </c>
      <c r="C554">
        <v>24320.55</v>
      </c>
    </row>
    <row r="555" spans="2:3" x14ac:dyDescent="0.3">
      <c r="B555" s="87">
        <v>45478</v>
      </c>
      <c r="C555">
        <v>24323.85</v>
      </c>
    </row>
    <row r="556" spans="2:3" x14ac:dyDescent="0.3">
      <c r="B556" s="87">
        <v>45477</v>
      </c>
      <c r="C556">
        <v>24302.15</v>
      </c>
    </row>
    <row r="557" spans="2:3" x14ac:dyDescent="0.3">
      <c r="B557" s="87">
        <v>45476</v>
      </c>
      <c r="C557">
        <v>24286.5</v>
      </c>
    </row>
    <row r="558" spans="2:3" x14ac:dyDescent="0.3">
      <c r="B558" s="87">
        <v>45475</v>
      </c>
      <c r="C558">
        <v>24123.85</v>
      </c>
    </row>
    <row r="559" spans="2:3" x14ac:dyDescent="0.3">
      <c r="B559" s="87">
        <v>45474</v>
      </c>
      <c r="C559">
        <v>24141.95</v>
      </c>
    </row>
    <row r="560" spans="2:3" x14ac:dyDescent="0.3">
      <c r="B560" s="87">
        <v>45471</v>
      </c>
      <c r="C560">
        <v>24010.6</v>
      </c>
    </row>
    <row r="561" spans="2:3" x14ac:dyDescent="0.3">
      <c r="B561" s="87">
        <v>45470</v>
      </c>
      <c r="C561">
        <v>24044.5</v>
      </c>
    </row>
    <row r="562" spans="2:3" x14ac:dyDescent="0.3">
      <c r="B562" s="87">
        <v>45469</v>
      </c>
      <c r="C562">
        <v>23868.799999999999</v>
      </c>
    </row>
    <row r="563" spans="2:3" x14ac:dyDescent="0.3">
      <c r="B563" s="87">
        <v>45468</v>
      </c>
      <c r="C563">
        <v>23721.3</v>
      </c>
    </row>
    <row r="564" spans="2:3" x14ac:dyDescent="0.3">
      <c r="B564" s="87">
        <v>45467</v>
      </c>
      <c r="C564">
        <v>23537.85</v>
      </c>
    </row>
    <row r="565" spans="2:3" x14ac:dyDescent="0.3">
      <c r="B565" s="87">
        <v>45464</v>
      </c>
      <c r="C565">
        <v>23501.1</v>
      </c>
    </row>
    <row r="566" spans="2:3" x14ac:dyDescent="0.3">
      <c r="B566" s="87">
        <v>45463</v>
      </c>
      <c r="C566">
        <v>23567</v>
      </c>
    </row>
    <row r="567" spans="2:3" x14ac:dyDescent="0.3">
      <c r="B567" s="87">
        <v>45462</v>
      </c>
      <c r="C567">
        <v>23516</v>
      </c>
    </row>
    <row r="568" spans="2:3" x14ac:dyDescent="0.3">
      <c r="B568" s="87">
        <v>45461</v>
      </c>
      <c r="C568">
        <v>23557.9</v>
      </c>
    </row>
    <row r="569" spans="2:3" x14ac:dyDescent="0.3">
      <c r="B569" s="87">
        <v>45457</v>
      </c>
      <c r="C569">
        <v>23465.599999999999</v>
      </c>
    </row>
    <row r="570" spans="2:3" x14ac:dyDescent="0.3">
      <c r="B570" s="87">
        <v>45456</v>
      </c>
      <c r="C570">
        <v>23398.9</v>
      </c>
    </row>
    <row r="571" spans="2:3" x14ac:dyDescent="0.3">
      <c r="B571" s="87">
        <v>45455</v>
      </c>
      <c r="C571">
        <v>23322.95</v>
      </c>
    </row>
    <row r="572" spans="2:3" x14ac:dyDescent="0.3">
      <c r="B572" s="87">
        <v>45454</v>
      </c>
      <c r="C572">
        <v>23264.85</v>
      </c>
    </row>
    <row r="573" spans="2:3" x14ac:dyDescent="0.3">
      <c r="B573" s="87">
        <v>45453</v>
      </c>
      <c r="C573">
        <v>23259.200000000001</v>
      </c>
    </row>
    <row r="574" spans="2:3" x14ac:dyDescent="0.3">
      <c r="B574" s="87">
        <v>45450</v>
      </c>
      <c r="C574">
        <v>23290.15</v>
      </c>
    </row>
    <row r="575" spans="2:3" x14ac:dyDescent="0.3">
      <c r="B575" s="87">
        <v>45449</v>
      </c>
      <c r="C575">
        <v>22821.4</v>
      </c>
    </row>
    <row r="576" spans="2:3" x14ac:dyDescent="0.3">
      <c r="B576" s="87">
        <v>45448</v>
      </c>
      <c r="C576">
        <v>22620.35</v>
      </c>
    </row>
    <row r="577" spans="2:3" x14ac:dyDescent="0.3">
      <c r="B577" s="87">
        <v>45447</v>
      </c>
      <c r="C577">
        <v>21884.5</v>
      </c>
    </row>
    <row r="578" spans="2:3" x14ac:dyDescent="0.3">
      <c r="B578" s="87">
        <v>45446</v>
      </c>
      <c r="C578">
        <v>23263.9</v>
      </c>
    </row>
    <row r="579" spans="2:3" x14ac:dyDescent="0.3">
      <c r="B579" s="87">
        <v>45443</v>
      </c>
      <c r="C579">
        <v>22530.7</v>
      </c>
    </row>
    <row r="580" spans="2:3" x14ac:dyDescent="0.3">
      <c r="B580" s="87">
        <v>45442</v>
      </c>
      <c r="C580">
        <v>22488.65</v>
      </c>
    </row>
    <row r="581" spans="2:3" x14ac:dyDescent="0.3">
      <c r="B581" s="87">
        <v>45441</v>
      </c>
      <c r="C581">
        <v>22704.7</v>
      </c>
    </row>
    <row r="582" spans="2:3" x14ac:dyDescent="0.3">
      <c r="B582" s="87">
        <v>45440</v>
      </c>
      <c r="C582">
        <v>22888.15</v>
      </c>
    </row>
    <row r="583" spans="2:3" x14ac:dyDescent="0.3">
      <c r="B583" s="87">
        <v>45439</v>
      </c>
      <c r="C583">
        <v>22932.45</v>
      </c>
    </row>
    <row r="584" spans="2:3" x14ac:dyDescent="0.3">
      <c r="B584" s="87">
        <v>45436</v>
      </c>
      <c r="C584">
        <v>22957.1</v>
      </c>
    </row>
    <row r="585" spans="2:3" x14ac:dyDescent="0.3">
      <c r="B585" s="87">
        <v>45435</v>
      </c>
      <c r="C585">
        <v>22967.65</v>
      </c>
    </row>
    <row r="586" spans="2:3" x14ac:dyDescent="0.3">
      <c r="B586" s="87">
        <v>45434</v>
      </c>
      <c r="C586">
        <v>22597.8</v>
      </c>
    </row>
    <row r="587" spans="2:3" x14ac:dyDescent="0.3">
      <c r="B587" s="87">
        <v>45433</v>
      </c>
      <c r="C587">
        <v>22529.05</v>
      </c>
    </row>
    <row r="588" spans="2:3" x14ac:dyDescent="0.3">
      <c r="B588" s="87">
        <v>45430</v>
      </c>
      <c r="C588">
        <v>22502</v>
      </c>
    </row>
    <row r="589" spans="2:3" x14ac:dyDescent="0.3">
      <c r="B589" s="87">
        <v>45429</v>
      </c>
      <c r="C589">
        <v>22466.1</v>
      </c>
    </row>
    <row r="590" spans="2:3" x14ac:dyDescent="0.3">
      <c r="B590" s="87">
        <v>45428</v>
      </c>
      <c r="C590">
        <v>22403.85</v>
      </c>
    </row>
    <row r="591" spans="2:3" x14ac:dyDescent="0.3">
      <c r="B591" s="87">
        <v>45427</v>
      </c>
      <c r="C591">
        <v>22200.55</v>
      </c>
    </row>
    <row r="592" spans="2:3" x14ac:dyDescent="0.3">
      <c r="B592" s="87">
        <v>45426</v>
      </c>
      <c r="C592">
        <v>22217.85</v>
      </c>
    </row>
    <row r="593" spans="2:3" x14ac:dyDescent="0.3">
      <c r="B593" s="87">
        <v>45425</v>
      </c>
      <c r="C593">
        <v>22104.05</v>
      </c>
    </row>
    <row r="594" spans="2:3" x14ac:dyDescent="0.3">
      <c r="B594" s="87">
        <v>45422</v>
      </c>
      <c r="C594">
        <v>22055.200000000001</v>
      </c>
    </row>
    <row r="595" spans="2:3" x14ac:dyDescent="0.3">
      <c r="B595" s="87">
        <v>45421</v>
      </c>
      <c r="C595">
        <v>21957.5</v>
      </c>
    </row>
    <row r="596" spans="2:3" x14ac:dyDescent="0.3">
      <c r="B596" s="87">
        <v>45420</v>
      </c>
      <c r="C596">
        <v>22302.5</v>
      </c>
    </row>
    <row r="597" spans="2:3" x14ac:dyDescent="0.3">
      <c r="B597" s="87">
        <v>45419</v>
      </c>
      <c r="C597">
        <v>22302.5</v>
      </c>
    </row>
    <row r="598" spans="2:3" x14ac:dyDescent="0.3">
      <c r="B598" s="87">
        <v>45418</v>
      </c>
      <c r="C598">
        <v>22442.7</v>
      </c>
    </row>
    <row r="599" spans="2:3" x14ac:dyDescent="0.3">
      <c r="B599" s="87">
        <v>45415</v>
      </c>
      <c r="C599">
        <v>22475.85</v>
      </c>
    </row>
    <row r="600" spans="2:3" x14ac:dyDescent="0.3">
      <c r="B600" s="87">
        <v>45414</v>
      </c>
      <c r="C600">
        <v>22648.2</v>
      </c>
    </row>
    <row r="601" spans="2:3" x14ac:dyDescent="0.3">
      <c r="B601" s="87">
        <v>45412</v>
      </c>
      <c r="C601">
        <v>22604.85</v>
      </c>
    </row>
    <row r="602" spans="2:3" x14ac:dyDescent="0.3">
      <c r="B602" s="87">
        <v>45411</v>
      </c>
      <c r="C602">
        <v>22643.4</v>
      </c>
    </row>
    <row r="603" spans="2:3" x14ac:dyDescent="0.3">
      <c r="B603" s="87">
        <v>45408</v>
      </c>
      <c r="C603">
        <v>22419.95</v>
      </c>
    </row>
    <row r="604" spans="2:3" x14ac:dyDescent="0.3">
      <c r="B604" s="87">
        <v>45407</v>
      </c>
      <c r="C604">
        <v>22570.35</v>
      </c>
    </row>
    <row r="605" spans="2:3" x14ac:dyDescent="0.3">
      <c r="B605" s="87">
        <v>45406</v>
      </c>
      <c r="C605">
        <v>22402.400000000001</v>
      </c>
    </row>
    <row r="606" spans="2:3" x14ac:dyDescent="0.3">
      <c r="B606" s="87">
        <v>45405</v>
      </c>
      <c r="C606">
        <v>22368</v>
      </c>
    </row>
    <row r="607" spans="2:3" x14ac:dyDescent="0.3">
      <c r="B607" s="87">
        <v>45404</v>
      </c>
      <c r="C607">
        <v>22336.400000000001</v>
      </c>
    </row>
    <row r="608" spans="2:3" x14ac:dyDescent="0.3">
      <c r="B608" s="87">
        <v>45401</v>
      </c>
      <c r="C608">
        <v>22147</v>
      </c>
    </row>
    <row r="609" spans="2:3" x14ac:dyDescent="0.3">
      <c r="B609" s="87">
        <v>45400</v>
      </c>
      <c r="C609">
        <v>21995.85</v>
      </c>
    </row>
    <row r="610" spans="2:3" x14ac:dyDescent="0.3">
      <c r="B610" s="87">
        <v>45398</v>
      </c>
      <c r="C610">
        <v>22147.9</v>
      </c>
    </row>
    <row r="611" spans="2:3" x14ac:dyDescent="0.3">
      <c r="B611" s="87">
        <v>45397</v>
      </c>
      <c r="C611">
        <v>22272.5</v>
      </c>
    </row>
    <row r="612" spans="2:3" x14ac:dyDescent="0.3">
      <c r="B612" s="87">
        <v>45394</v>
      </c>
      <c r="C612">
        <v>22519.4</v>
      </c>
    </row>
    <row r="613" spans="2:3" x14ac:dyDescent="0.3">
      <c r="B613" s="87">
        <v>45392</v>
      </c>
      <c r="C613">
        <v>22753.8</v>
      </c>
    </row>
    <row r="614" spans="2:3" x14ac:dyDescent="0.3">
      <c r="B614" s="87">
        <v>45391</v>
      </c>
      <c r="C614">
        <v>22642.75</v>
      </c>
    </row>
    <row r="615" spans="2:3" x14ac:dyDescent="0.3">
      <c r="B615" s="87">
        <v>45390</v>
      </c>
      <c r="C615">
        <v>22666.3</v>
      </c>
    </row>
    <row r="616" spans="2:3" x14ac:dyDescent="0.3">
      <c r="B616" s="87">
        <v>45387</v>
      </c>
      <c r="C616">
        <v>22513.7</v>
      </c>
    </row>
    <row r="617" spans="2:3" x14ac:dyDescent="0.3">
      <c r="B617" s="87">
        <v>45386</v>
      </c>
      <c r="C617">
        <v>22514.65</v>
      </c>
    </row>
    <row r="618" spans="2:3" x14ac:dyDescent="0.3">
      <c r="B618" s="87">
        <v>45385</v>
      </c>
      <c r="C618">
        <v>22434.65</v>
      </c>
    </row>
    <row r="619" spans="2:3" x14ac:dyDescent="0.3">
      <c r="B619" s="87">
        <v>45384</v>
      </c>
      <c r="C619">
        <v>22453.3</v>
      </c>
    </row>
    <row r="620" spans="2:3" x14ac:dyDescent="0.3">
      <c r="B620" s="87">
        <v>45383</v>
      </c>
      <c r="C620">
        <v>22462</v>
      </c>
    </row>
    <row r="621" spans="2:3" x14ac:dyDescent="0.3">
      <c r="B621" s="87">
        <v>45379</v>
      </c>
      <c r="C621">
        <v>22326.9</v>
      </c>
    </row>
    <row r="622" spans="2:3" x14ac:dyDescent="0.3">
      <c r="B622" s="87">
        <v>45378</v>
      </c>
      <c r="C622">
        <v>22123.65</v>
      </c>
    </row>
    <row r="623" spans="2:3" x14ac:dyDescent="0.3">
      <c r="B623" s="87">
        <v>45377</v>
      </c>
      <c r="C623">
        <v>22004.7</v>
      </c>
    </row>
    <row r="624" spans="2:3" x14ac:dyDescent="0.3">
      <c r="B624" s="87">
        <v>45373</v>
      </c>
      <c r="C624">
        <v>22096.75</v>
      </c>
    </row>
    <row r="625" spans="2:3" x14ac:dyDescent="0.3">
      <c r="B625" s="87">
        <v>45372</v>
      </c>
      <c r="C625">
        <v>22011.95</v>
      </c>
    </row>
    <row r="626" spans="2:3" x14ac:dyDescent="0.3">
      <c r="B626" s="87">
        <v>45371</v>
      </c>
      <c r="C626">
        <v>21839.1</v>
      </c>
    </row>
    <row r="627" spans="2:3" x14ac:dyDescent="0.3">
      <c r="B627" s="87">
        <v>45370</v>
      </c>
      <c r="C627">
        <v>21817.45</v>
      </c>
    </row>
    <row r="628" spans="2:3" x14ac:dyDescent="0.3">
      <c r="B628" s="87">
        <v>45369</v>
      </c>
      <c r="C628">
        <v>22055.7</v>
      </c>
    </row>
    <row r="629" spans="2:3" x14ac:dyDescent="0.3">
      <c r="B629" s="87">
        <v>45366</v>
      </c>
      <c r="C629">
        <v>22023.35</v>
      </c>
    </row>
    <row r="630" spans="2:3" x14ac:dyDescent="0.3">
      <c r="B630" s="87">
        <v>45365</v>
      </c>
      <c r="C630">
        <v>22146.65</v>
      </c>
    </row>
    <row r="631" spans="2:3" x14ac:dyDescent="0.3">
      <c r="B631" s="87">
        <v>45364</v>
      </c>
      <c r="C631">
        <v>21997.7</v>
      </c>
    </row>
    <row r="632" spans="2:3" x14ac:dyDescent="0.3">
      <c r="B632" s="87">
        <v>45363</v>
      </c>
      <c r="C632">
        <v>22335.7</v>
      </c>
    </row>
    <row r="633" spans="2:3" x14ac:dyDescent="0.3">
      <c r="B633" s="87">
        <v>45362</v>
      </c>
      <c r="C633">
        <v>22332.65</v>
      </c>
    </row>
    <row r="634" spans="2:3" x14ac:dyDescent="0.3">
      <c r="B634" s="87">
        <v>45358</v>
      </c>
      <c r="C634">
        <v>22493.55</v>
      </c>
    </row>
    <row r="635" spans="2:3" x14ac:dyDescent="0.3">
      <c r="B635" s="87">
        <v>45357</v>
      </c>
      <c r="C635">
        <v>22474.05</v>
      </c>
    </row>
    <row r="636" spans="2:3" x14ac:dyDescent="0.3">
      <c r="B636" s="87">
        <v>45356</v>
      </c>
      <c r="C636">
        <v>22356.3</v>
      </c>
    </row>
    <row r="637" spans="2:3" x14ac:dyDescent="0.3">
      <c r="B637" s="87">
        <v>45355</v>
      </c>
      <c r="C637">
        <v>22405.599999999999</v>
      </c>
    </row>
    <row r="638" spans="2:3" x14ac:dyDescent="0.3">
      <c r="B638" s="87">
        <v>45353</v>
      </c>
      <c r="C638">
        <v>22378.400000000001</v>
      </c>
    </row>
    <row r="639" spans="2:3" x14ac:dyDescent="0.3">
      <c r="B639" s="87">
        <v>45352</v>
      </c>
      <c r="C639">
        <v>22338.75</v>
      </c>
    </row>
    <row r="640" spans="2:3" x14ac:dyDescent="0.3">
      <c r="B640" s="87">
        <v>45351</v>
      </c>
      <c r="C640">
        <v>21982.799999999999</v>
      </c>
    </row>
    <row r="641" spans="2:3" x14ac:dyDescent="0.3">
      <c r="B641" s="87">
        <v>45350</v>
      </c>
      <c r="C641">
        <v>21951.15</v>
      </c>
    </row>
    <row r="642" spans="2:3" x14ac:dyDescent="0.3">
      <c r="B642" s="87">
        <v>45349</v>
      </c>
      <c r="C642">
        <v>22198.35</v>
      </c>
    </row>
    <row r="643" spans="2:3" x14ac:dyDescent="0.3">
      <c r="B643" s="87">
        <v>45348</v>
      </c>
      <c r="C643">
        <v>22122.05</v>
      </c>
    </row>
    <row r="644" spans="2:3" x14ac:dyDescent="0.3">
      <c r="B644" s="87">
        <v>45345</v>
      </c>
      <c r="C644">
        <v>22212.7</v>
      </c>
    </row>
    <row r="645" spans="2:3" x14ac:dyDescent="0.3">
      <c r="B645" s="87">
        <v>45344</v>
      </c>
      <c r="C645">
        <v>22217.45</v>
      </c>
    </row>
    <row r="646" spans="2:3" x14ac:dyDescent="0.3">
      <c r="B646" s="87">
        <v>45343</v>
      </c>
      <c r="C646">
        <v>22055.05</v>
      </c>
    </row>
    <row r="647" spans="2:3" x14ac:dyDescent="0.3">
      <c r="B647" s="87">
        <v>45342</v>
      </c>
      <c r="C647">
        <v>22196.95</v>
      </c>
    </row>
    <row r="648" spans="2:3" x14ac:dyDescent="0.3">
      <c r="B648" s="87">
        <v>45341</v>
      </c>
      <c r="C648">
        <v>22122.25</v>
      </c>
    </row>
    <row r="649" spans="2:3" x14ac:dyDescent="0.3">
      <c r="B649" s="87">
        <v>45338</v>
      </c>
      <c r="C649">
        <v>22040.7</v>
      </c>
    </row>
    <row r="650" spans="2:3" x14ac:dyDescent="0.3">
      <c r="B650" s="87">
        <v>45337</v>
      </c>
      <c r="C650">
        <v>21910.75</v>
      </c>
    </row>
    <row r="651" spans="2:3" x14ac:dyDescent="0.3">
      <c r="B651" s="87">
        <v>45336</v>
      </c>
      <c r="C651">
        <v>21840.05</v>
      </c>
    </row>
    <row r="652" spans="2:3" x14ac:dyDescent="0.3">
      <c r="B652" s="87">
        <v>45335</v>
      </c>
      <c r="C652">
        <v>21743.25</v>
      </c>
    </row>
    <row r="653" spans="2:3" x14ac:dyDescent="0.3">
      <c r="B653" s="87">
        <v>45334</v>
      </c>
      <c r="C653">
        <v>21616.05</v>
      </c>
    </row>
    <row r="654" spans="2:3" x14ac:dyDescent="0.3">
      <c r="B654" s="87">
        <v>45331</v>
      </c>
      <c r="C654">
        <v>21782.5</v>
      </c>
    </row>
    <row r="655" spans="2:3" x14ac:dyDescent="0.3">
      <c r="B655" s="87">
        <v>45330</v>
      </c>
      <c r="C655">
        <v>21717.95</v>
      </c>
    </row>
    <row r="656" spans="2:3" x14ac:dyDescent="0.3">
      <c r="B656" s="87">
        <v>45329</v>
      </c>
      <c r="C656">
        <v>21930.5</v>
      </c>
    </row>
    <row r="657" spans="2:3" x14ac:dyDescent="0.3">
      <c r="B657" s="87">
        <v>45328</v>
      </c>
      <c r="C657">
        <v>21929.4</v>
      </c>
    </row>
    <row r="658" spans="2:3" x14ac:dyDescent="0.3">
      <c r="B658" s="87">
        <v>45327</v>
      </c>
      <c r="C658">
        <v>21771.7</v>
      </c>
    </row>
    <row r="659" spans="2:3" x14ac:dyDescent="0.3">
      <c r="B659" s="87">
        <v>45324</v>
      </c>
      <c r="C659">
        <v>21853.8</v>
      </c>
    </row>
    <row r="660" spans="2:3" x14ac:dyDescent="0.3">
      <c r="B660" s="87">
        <v>45323</v>
      </c>
      <c r="C660">
        <v>21697.45</v>
      </c>
    </row>
    <row r="661" spans="2:3" x14ac:dyDescent="0.3">
      <c r="B661" s="87">
        <v>45322</v>
      </c>
      <c r="C661">
        <v>21725.7</v>
      </c>
    </row>
    <row r="662" spans="2:3" x14ac:dyDescent="0.3">
      <c r="B662" s="87">
        <v>45321</v>
      </c>
      <c r="C662">
        <v>21522.1</v>
      </c>
    </row>
    <row r="663" spans="2:3" x14ac:dyDescent="0.3">
      <c r="B663" s="87">
        <v>45320</v>
      </c>
      <c r="C663">
        <v>21737.599999999999</v>
      </c>
    </row>
    <row r="664" spans="2:3" x14ac:dyDescent="0.3">
      <c r="B664" s="87">
        <v>45316</v>
      </c>
      <c r="C664">
        <v>21352.6</v>
      </c>
    </row>
    <row r="665" spans="2:3" x14ac:dyDescent="0.3">
      <c r="B665" s="87">
        <v>45315</v>
      </c>
      <c r="C665">
        <v>21453.95</v>
      </c>
    </row>
    <row r="666" spans="2:3" x14ac:dyDescent="0.3">
      <c r="B666" s="87">
        <v>45314</v>
      </c>
      <c r="C666">
        <v>21238.799999999999</v>
      </c>
    </row>
    <row r="667" spans="2:3" x14ac:dyDescent="0.3">
      <c r="B667" s="87">
        <v>45311</v>
      </c>
      <c r="C667">
        <v>21571.8</v>
      </c>
    </row>
    <row r="668" spans="2:3" x14ac:dyDescent="0.3">
      <c r="B668" s="87">
        <v>45310</v>
      </c>
      <c r="C668">
        <v>21622.400000000001</v>
      </c>
    </row>
    <row r="669" spans="2:3" x14ac:dyDescent="0.3">
      <c r="B669" s="87">
        <v>45309</v>
      </c>
      <c r="C669">
        <v>21462.25</v>
      </c>
    </row>
    <row r="670" spans="2:3" x14ac:dyDescent="0.3">
      <c r="B670" s="87">
        <v>45308</v>
      </c>
      <c r="C670">
        <v>21571.95</v>
      </c>
    </row>
    <row r="671" spans="2:3" x14ac:dyDescent="0.3">
      <c r="B671" s="87">
        <v>45307</v>
      </c>
      <c r="C671">
        <v>22032.3</v>
      </c>
    </row>
    <row r="672" spans="2:3" x14ac:dyDescent="0.3">
      <c r="B672" s="87">
        <v>45306</v>
      </c>
      <c r="C672">
        <v>22097.45</v>
      </c>
    </row>
    <row r="673" spans="2:3" x14ac:dyDescent="0.3">
      <c r="B673" s="87">
        <v>45303</v>
      </c>
      <c r="C673">
        <v>21894.55</v>
      </c>
    </row>
    <row r="674" spans="2:3" x14ac:dyDescent="0.3">
      <c r="B674" s="87">
        <v>45302</v>
      </c>
      <c r="C674">
        <v>21647.200000000001</v>
      </c>
    </row>
    <row r="675" spans="2:3" x14ac:dyDescent="0.3">
      <c r="B675" s="87">
        <v>45301</v>
      </c>
      <c r="C675">
        <v>21618.7</v>
      </c>
    </row>
    <row r="676" spans="2:3" x14ac:dyDescent="0.3">
      <c r="B676" s="87">
        <v>45300</v>
      </c>
      <c r="C676">
        <v>21544.85</v>
      </c>
    </row>
    <row r="677" spans="2:3" x14ac:dyDescent="0.3">
      <c r="B677" s="87">
        <v>45299</v>
      </c>
      <c r="C677">
        <v>21513</v>
      </c>
    </row>
    <row r="678" spans="2:3" x14ac:dyDescent="0.3">
      <c r="B678" s="87">
        <v>45296</v>
      </c>
      <c r="C678">
        <v>21710.799999999999</v>
      </c>
    </row>
    <row r="679" spans="2:3" x14ac:dyDescent="0.3">
      <c r="B679" s="87">
        <v>45295</v>
      </c>
      <c r="C679">
        <v>21658.6</v>
      </c>
    </row>
    <row r="680" spans="2:3" x14ac:dyDescent="0.3">
      <c r="B680" s="87">
        <v>45294</v>
      </c>
      <c r="C680">
        <v>21517.35</v>
      </c>
    </row>
    <row r="681" spans="2:3" x14ac:dyDescent="0.3">
      <c r="B681" s="87">
        <v>45293</v>
      </c>
      <c r="C681">
        <v>21665.8</v>
      </c>
    </row>
    <row r="682" spans="2:3" x14ac:dyDescent="0.3">
      <c r="B682" s="87">
        <v>45292</v>
      </c>
      <c r="C682">
        <v>21741.9</v>
      </c>
    </row>
    <row r="683" spans="2:3" x14ac:dyDescent="0.3">
      <c r="B683" s="87">
        <v>45289</v>
      </c>
      <c r="C683">
        <v>21731.4</v>
      </c>
    </row>
    <row r="684" spans="2:3" x14ac:dyDescent="0.3">
      <c r="B684" s="87">
        <v>45288</v>
      </c>
      <c r="C684">
        <v>21778.7</v>
      </c>
    </row>
    <row r="685" spans="2:3" x14ac:dyDescent="0.3">
      <c r="B685" s="87">
        <v>45287</v>
      </c>
      <c r="C685">
        <v>21654.75</v>
      </c>
    </row>
    <row r="686" spans="2:3" x14ac:dyDescent="0.3">
      <c r="B686" s="87">
        <v>45286</v>
      </c>
      <c r="C686">
        <v>21441.35</v>
      </c>
    </row>
    <row r="687" spans="2:3" x14ac:dyDescent="0.3">
      <c r="B687" s="87">
        <v>45282</v>
      </c>
      <c r="C687">
        <v>21349.4</v>
      </c>
    </row>
    <row r="688" spans="2:3" x14ac:dyDescent="0.3">
      <c r="B688" s="87">
        <v>45281</v>
      </c>
      <c r="C688">
        <v>21255.05</v>
      </c>
    </row>
    <row r="689" spans="2:3" x14ac:dyDescent="0.3">
      <c r="B689" s="87">
        <v>45280</v>
      </c>
      <c r="C689">
        <v>21150.15</v>
      </c>
    </row>
    <row r="690" spans="2:3" x14ac:dyDescent="0.3">
      <c r="B690" s="87">
        <v>45279</v>
      </c>
      <c r="C690">
        <v>21453.1</v>
      </c>
    </row>
    <row r="691" spans="2:3" x14ac:dyDescent="0.3">
      <c r="B691" s="87">
        <v>45278</v>
      </c>
      <c r="C691">
        <v>21418.65</v>
      </c>
    </row>
    <row r="692" spans="2:3" x14ac:dyDescent="0.3">
      <c r="B692" s="87">
        <v>45275</v>
      </c>
      <c r="C692">
        <v>21456.65</v>
      </c>
    </row>
    <row r="693" spans="2:3" x14ac:dyDescent="0.3">
      <c r="B693" s="87">
        <v>45274</v>
      </c>
      <c r="C693">
        <v>21182.7</v>
      </c>
    </row>
    <row r="694" spans="2:3" x14ac:dyDescent="0.3">
      <c r="B694" s="87">
        <v>45273</v>
      </c>
      <c r="C694">
        <v>20926.349999999999</v>
      </c>
    </row>
    <row r="695" spans="2:3" x14ac:dyDescent="0.3">
      <c r="B695" s="87">
        <v>45272</v>
      </c>
      <c r="C695">
        <v>20906.400000000001</v>
      </c>
    </row>
    <row r="696" spans="2:3" x14ac:dyDescent="0.3">
      <c r="B696" s="87">
        <v>45271</v>
      </c>
      <c r="C696">
        <v>20997.1</v>
      </c>
    </row>
    <row r="697" spans="2:3" x14ac:dyDescent="0.3">
      <c r="B697" s="87">
        <v>45268</v>
      </c>
      <c r="C697">
        <v>20969.400000000001</v>
      </c>
    </row>
    <row r="698" spans="2:3" x14ac:dyDescent="0.3">
      <c r="B698" s="87">
        <v>45267</v>
      </c>
      <c r="C698">
        <v>20901.150000000001</v>
      </c>
    </row>
    <row r="699" spans="2:3" x14ac:dyDescent="0.3">
      <c r="B699" s="87">
        <v>45266</v>
      </c>
      <c r="C699">
        <v>20937.7</v>
      </c>
    </row>
    <row r="700" spans="2:3" x14ac:dyDescent="0.3">
      <c r="B700" s="87">
        <v>45265</v>
      </c>
      <c r="C700">
        <v>20855.099999999999</v>
      </c>
    </row>
    <row r="701" spans="2:3" x14ac:dyDescent="0.3">
      <c r="B701" s="87">
        <v>45264</v>
      </c>
      <c r="C701">
        <v>20686.8</v>
      </c>
    </row>
    <row r="702" spans="2:3" x14ac:dyDescent="0.3">
      <c r="B702" s="87">
        <v>45261</v>
      </c>
      <c r="C702">
        <v>20267.900000000001</v>
      </c>
    </row>
    <row r="703" spans="2:3" x14ac:dyDescent="0.3">
      <c r="B703" s="87">
        <v>45260</v>
      </c>
      <c r="C703">
        <v>20133.150000000001</v>
      </c>
    </row>
    <row r="704" spans="2:3" x14ac:dyDescent="0.3">
      <c r="B704" s="87">
        <v>45259</v>
      </c>
      <c r="C704">
        <v>20096.599999999999</v>
      </c>
    </row>
    <row r="705" spans="2:3" x14ac:dyDescent="0.3">
      <c r="B705" s="87">
        <v>45258</v>
      </c>
      <c r="C705">
        <v>19889.7</v>
      </c>
    </row>
    <row r="706" spans="2:3" x14ac:dyDescent="0.3">
      <c r="B706" s="87">
        <v>45254</v>
      </c>
      <c r="C706">
        <v>19794.7</v>
      </c>
    </row>
    <row r="707" spans="2:3" x14ac:dyDescent="0.3">
      <c r="B707" s="87">
        <v>45253</v>
      </c>
      <c r="C707">
        <v>19802</v>
      </c>
    </row>
    <row r="708" spans="2:3" x14ac:dyDescent="0.3">
      <c r="B708" s="87">
        <v>45252</v>
      </c>
      <c r="C708">
        <v>19811.849999999999</v>
      </c>
    </row>
    <row r="709" spans="2:3" x14ac:dyDescent="0.3">
      <c r="B709" s="87">
        <v>45251</v>
      </c>
      <c r="C709">
        <v>19783.400000000001</v>
      </c>
    </row>
    <row r="710" spans="2:3" x14ac:dyDescent="0.3">
      <c r="B710" s="87">
        <v>45250</v>
      </c>
      <c r="C710">
        <v>19694</v>
      </c>
    </row>
    <row r="711" spans="2:3" x14ac:dyDescent="0.3">
      <c r="B711" s="87">
        <v>45247</v>
      </c>
      <c r="C711">
        <v>19731.8</v>
      </c>
    </row>
    <row r="712" spans="2:3" x14ac:dyDescent="0.3">
      <c r="B712" s="87">
        <v>45246</v>
      </c>
      <c r="C712">
        <v>19765.2</v>
      </c>
    </row>
    <row r="713" spans="2:3" x14ac:dyDescent="0.3">
      <c r="B713" s="87">
        <v>45245</v>
      </c>
      <c r="C713">
        <v>19675.45</v>
      </c>
    </row>
    <row r="714" spans="2:3" x14ac:dyDescent="0.3">
      <c r="B714" s="87">
        <v>45243</v>
      </c>
      <c r="C714">
        <v>19443.55</v>
      </c>
    </row>
    <row r="715" spans="2:3" x14ac:dyDescent="0.3">
      <c r="B715" s="87">
        <v>45242</v>
      </c>
      <c r="C715">
        <v>19525.55</v>
      </c>
    </row>
    <row r="716" spans="2:3" x14ac:dyDescent="0.3">
      <c r="B716" s="87">
        <v>45240</v>
      </c>
      <c r="C716">
        <v>19425.349999999999</v>
      </c>
    </row>
    <row r="717" spans="2:3" x14ac:dyDescent="0.3">
      <c r="B717" s="87">
        <v>45239</v>
      </c>
      <c r="C717">
        <v>19395.3</v>
      </c>
    </row>
    <row r="718" spans="2:3" x14ac:dyDescent="0.3">
      <c r="B718" s="87">
        <v>45238</v>
      </c>
      <c r="C718">
        <v>19443.5</v>
      </c>
    </row>
    <row r="719" spans="2:3" x14ac:dyDescent="0.3">
      <c r="B719" s="87">
        <v>45237</v>
      </c>
      <c r="C719">
        <v>19406.7</v>
      </c>
    </row>
    <row r="720" spans="2:3" x14ac:dyDescent="0.3">
      <c r="B720" s="87">
        <v>45236</v>
      </c>
      <c r="C720">
        <v>19411.75</v>
      </c>
    </row>
    <row r="721" spans="2:3" x14ac:dyDescent="0.3">
      <c r="B721" s="87">
        <v>45233</v>
      </c>
      <c r="C721">
        <v>19230.599999999999</v>
      </c>
    </row>
    <row r="722" spans="2:3" x14ac:dyDescent="0.3">
      <c r="B722" s="87">
        <v>45232</v>
      </c>
      <c r="C722">
        <v>19133.25</v>
      </c>
    </row>
    <row r="723" spans="2:3" x14ac:dyDescent="0.3">
      <c r="B723" s="87">
        <v>45231</v>
      </c>
      <c r="C723">
        <v>18989.150000000001</v>
      </c>
    </row>
    <row r="724" spans="2:3" x14ac:dyDescent="0.3">
      <c r="B724" s="87">
        <v>45230</v>
      </c>
      <c r="C724">
        <v>19079.599999999999</v>
      </c>
    </row>
    <row r="725" spans="2:3" x14ac:dyDescent="0.3">
      <c r="B725" s="87">
        <v>45229</v>
      </c>
      <c r="C725">
        <v>19140.900000000001</v>
      </c>
    </row>
    <row r="726" spans="2:3" x14ac:dyDescent="0.3">
      <c r="B726" s="87">
        <v>45226</v>
      </c>
      <c r="C726">
        <v>19047.25</v>
      </c>
    </row>
    <row r="727" spans="2:3" x14ac:dyDescent="0.3">
      <c r="B727" s="87">
        <v>45225</v>
      </c>
      <c r="C727">
        <v>18857.25</v>
      </c>
    </row>
    <row r="728" spans="2:3" x14ac:dyDescent="0.3">
      <c r="B728" s="87">
        <v>45224</v>
      </c>
      <c r="C728">
        <v>19122.150000000001</v>
      </c>
    </row>
    <row r="729" spans="2:3" x14ac:dyDescent="0.3">
      <c r="B729" s="87">
        <v>45222</v>
      </c>
      <c r="C729">
        <v>19281.75</v>
      </c>
    </row>
    <row r="730" spans="2:3" x14ac:dyDescent="0.3">
      <c r="B730" s="87">
        <v>45219</v>
      </c>
      <c r="C730">
        <v>19542.650000000001</v>
      </c>
    </row>
    <row r="731" spans="2:3" x14ac:dyDescent="0.3">
      <c r="B731" s="87">
        <v>45218</v>
      </c>
      <c r="C731">
        <v>19624.7</v>
      </c>
    </row>
    <row r="732" spans="2:3" x14ac:dyDescent="0.3">
      <c r="B732" s="87">
        <v>45217</v>
      </c>
      <c r="C732">
        <v>19671.099999999999</v>
      </c>
    </row>
    <row r="733" spans="2:3" x14ac:dyDescent="0.3">
      <c r="B733" s="87">
        <v>45216</v>
      </c>
      <c r="C733">
        <v>19811.5</v>
      </c>
    </row>
    <row r="734" spans="2:3" x14ac:dyDescent="0.3">
      <c r="B734" s="87">
        <v>45215</v>
      </c>
      <c r="C734">
        <v>19731.75</v>
      </c>
    </row>
    <row r="735" spans="2:3" x14ac:dyDescent="0.3">
      <c r="B735" s="87">
        <v>45212</v>
      </c>
      <c r="C735">
        <v>19751.05</v>
      </c>
    </row>
    <row r="736" spans="2:3" x14ac:dyDescent="0.3">
      <c r="B736" s="87">
        <v>45211</v>
      </c>
      <c r="C736">
        <v>19794</v>
      </c>
    </row>
    <row r="737" spans="2:3" x14ac:dyDescent="0.3">
      <c r="B737" s="87">
        <v>45210</v>
      </c>
      <c r="C737">
        <v>19811.349999999999</v>
      </c>
    </row>
    <row r="738" spans="2:3" x14ac:dyDescent="0.3">
      <c r="B738" s="87">
        <v>45209</v>
      </c>
      <c r="C738">
        <v>19689.849999999999</v>
      </c>
    </row>
    <row r="739" spans="2:3" x14ac:dyDescent="0.3">
      <c r="B739" s="87">
        <v>45208</v>
      </c>
      <c r="C739">
        <v>19512.349999999999</v>
      </c>
    </row>
    <row r="740" spans="2:3" x14ac:dyDescent="0.3">
      <c r="B740" s="87">
        <v>45205</v>
      </c>
      <c r="C740">
        <v>19653.5</v>
      </c>
    </row>
    <row r="741" spans="2:3" x14ac:dyDescent="0.3">
      <c r="B741" s="87">
        <v>45204</v>
      </c>
      <c r="C741">
        <v>19545.75</v>
      </c>
    </row>
    <row r="742" spans="2:3" x14ac:dyDescent="0.3">
      <c r="B742" s="87">
        <v>45203</v>
      </c>
      <c r="C742">
        <v>19436.099999999999</v>
      </c>
    </row>
    <row r="743" spans="2:3" x14ac:dyDescent="0.3">
      <c r="B743" s="87">
        <v>45202</v>
      </c>
      <c r="C743">
        <v>19528.75</v>
      </c>
    </row>
    <row r="744" spans="2:3" x14ac:dyDescent="0.3">
      <c r="B744" s="87">
        <v>45198</v>
      </c>
      <c r="C744">
        <v>19638.3</v>
      </c>
    </row>
    <row r="745" spans="2:3" x14ac:dyDescent="0.3">
      <c r="B745" s="87">
        <v>45197</v>
      </c>
      <c r="C745">
        <v>19523.55</v>
      </c>
    </row>
    <row r="746" spans="2:3" x14ac:dyDescent="0.3">
      <c r="B746" s="87">
        <v>45196</v>
      </c>
      <c r="C746">
        <v>19716.45</v>
      </c>
    </row>
    <row r="747" spans="2:3" x14ac:dyDescent="0.3">
      <c r="B747" s="87">
        <v>45195</v>
      </c>
      <c r="C747">
        <v>19664.7</v>
      </c>
    </row>
    <row r="748" spans="2:3" x14ac:dyDescent="0.3">
      <c r="B748" s="87">
        <v>45194</v>
      </c>
      <c r="C748">
        <v>19674.55</v>
      </c>
    </row>
    <row r="749" spans="2:3" x14ac:dyDescent="0.3">
      <c r="B749" s="87">
        <v>45191</v>
      </c>
      <c r="C749">
        <v>19674.25</v>
      </c>
    </row>
    <row r="750" spans="2:3" x14ac:dyDescent="0.3">
      <c r="B750" s="87">
        <v>45190</v>
      </c>
      <c r="C750">
        <v>19742.349999999999</v>
      </c>
    </row>
    <row r="751" spans="2:3" x14ac:dyDescent="0.3">
      <c r="B751" s="87">
        <v>45189</v>
      </c>
      <c r="C751">
        <v>19901.400000000001</v>
      </c>
    </row>
    <row r="752" spans="2:3" x14ac:dyDescent="0.3">
      <c r="B752" s="87">
        <v>45187</v>
      </c>
      <c r="C752">
        <v>20133.3</v>
      </c>
    </row>
    <row r="753" spans="2:3" x14ac:dyDescent="0.3">
      <c r="B753" s="87">
        <v>45184</v>
      </c>
      <c r="C753">
        <v>20192.349999999999</v>
      </c>
    </row>
    <row r="754" spans="2:3" x14ac:dyDescent="0.3">
      <c r="B754" s="87">
        <v>45183</v>
      </c>
      <c r="C754">
        <v>20103.099999999999</v>
      </c>
    </row>
    <row r="755" spans="2:3" x14ac:dyDescent="0.3">
      <c r="B755" s="87">
        <v>45182</v>
      </c>
      <c r="C755">
        <v>20070</v>
      </c>
    </row>
    <row r="756" spans="2:3" x14ac:dyDescent="0.3">
      <c r="B756" s="87">
        <v>45181</v>
      </c>
      <c r="C756">
        <v>19993.2</v>
      </c>
    </row>
    <row r="757" spans="2:3" x14ac:dyDescent="0.3">
      <c r="B757" s="87">
        <v>45180</v>
      </c>
      <c r="C757">
        <v>19996.349999999999</v>
      </c>
    </row>
    <row r="758" spans="2:3" x14ac:dyDescent="0.3">
      <c r="B758" s="87">
        <v>45177</v>
      </c>
      <c r="C758">
        <v>19819.95</v>
      </c>
    </row>
    <row r="759" spans="2:3" x14ac:dyDescent="0.3">
      <c r="B759" s="87">
        <v>45176</v>
      </c>
      <c r="C759">
        <v>19727.05</v>
      </c>
    </row>
    <row r="760" spans="2:3" x14ac:dyDescent="0.3">
      <c r="B760" s="87">
        <v>45175</v>
      </c>
      <c r="C760">
        <v>19611.05</v>
      </c>
    </row>
    <row r="761" spans="2:3" x14ac:dyDescent="0.3">
      <c r="B761" s="87">
        <v>45174</v>
      </c>
      <c r="C761">
        <v>19574.900000000001</v>
      </c>
    </row>
    <row r="762" spans="2:3" x14ac:dyDescent="0.3">
      <c r="B762" s="87">
        <v>45173</v>
      </c>
      <c r="C762">
        <v>19528.8</v>
      </c>
    </row>
    <row r="763" spans="2:3" x14ac:dyDescent="0.3">
      <c r="B763" s="87">
        <v>45170</v>
      </c>
      <c r="C763">
        <v>19435.3</v>
      </c>
    </row>
    <row r="764" spans="2:3" x14ac:dyDescent="0.3">
      <c r="B764" s="87">
        <v>45169</v>
      </c>
      <c r="C764">
        <v>19253.8</v>
      </c>
    </row>
    <row r="765" spans="2:3" x14ac:dyDescent="0.3">
      <c r="B765" s="87">
        <v>45168</v>
      </c>
      <c r="C765">
        <v>19347.45</v>
      </c>
    </row>
    <row r="766" spans="2:3" x14ac:dyDescent="0.3">
      <c r="B766" s="87">
        <v>45167</v>
      </c>
      <c r="C766">
        <v>19342.650000000001</v>
      </c>
    </row>
    <row r="767" spans="2:3" x14ac:dyDescent="0.3">
      <c r="B767" s="87">
        <v>45166</v>
      </c>
      <c r="C767">
        <v>19306.05</v>
      </c>
    </row>
    <row r="768" spans="2:3" x14ac:dyDescent="0.3">
      <c r="B768" s="87">
        <v>45163</v>
      </c>
      <c r="C768">
        <v>19265.8</v>
      </c>
    </row>
    <row r="769" spans="2:3" x14ac:dyDescent="0.3">
      <c r="B769" s="87">
        <v>45162</v>
      </c>
      <c r="C769">
        <v>19386.7</v>
      </c>
    </row>
    <row r="770" spans="2:3" x14ac:dyDescent="0.3">
      <c r="B770" s="87">
        <v>45161</v>
      </c>
      <c r="C770">
        <v>19444</v>
      </c>
    </row>
    <row r="771" spans="2:3" x14ac:dyDescent="0.3">
      <c r="B771" s="87">
        <v>45160</v>
      </c>
      <c r="C771">
        <v>19396.45</v>
      </c>
    </row>
    <row r="772" spans="2:3" x14ac:dyDescent="0.3">
      <c r="B772" s="87">
        <v>45159</v>
      </c>
      <c r="C772">
        <v>19393.599999999999</v>
      </c>
    </row>
    <row r="773" spans="2:3" x14ac:dyDescent="0.3">
      <c r="B773" s="87">
        <v>45156</v>
      </c>
      <c r="C773">
        <v>19310.150000000001</v>
      </c>
    </row>
    <row r="774" spans="2:3" x14ac:dyDescent="0.3">
      <c r="B774" s="87">
        <v>45155</v>
      </c>
      <c r="C774">
        <v>19365.25</v>
      </c>
    </row>
    <row r="775" spans="2:3" x14ac:dyDescent="0.3">
      <c r="B775" s="87">
        <v>45154</v>
      </c>
      <c r="C775">
        <v>19465</v>
      </c>
    </row>
    <row r="776" spans="2:3" x14ac:dyDescent="0.3">
      <c r="B776" s="87">
        <v>45152</v>
      </c>
      <c r="C776">
        <v>19434.55</v>
      </c>
    </row>
    <row r="777" spans="2:3" x14ac:dyDescent="0.3">
      <c r="B777" s="87">
        <v>45149</v>
      </c>
      <c r="C777">
        <v>19428.3</v>
      </c>
    </row>
    <row r="778" spans="2:3" x14ac:dyDescent="0.3">
      <c r="B778" s="87">
        <v>45148</v>
      </c>
      <c r="C778">
        <v>19543.099999999999</v>
      </c>
    </row>
    <row r="779" spans="2:3" x14ac:dyDescent="0.3">
      <c r="B779" s="87">
        <v>45147</v>
      </c>
      <c r="C779">
        <v>19632.55</v>
      </c>
    </row>
    <row r="780" spans="2:3" x14ac:dyDescent="0.3">
      <c r="B780" s="87">
        <v>45146</v>
      </c>
      <c r="C780">
        <v>19570.849999999999</v>
      </c>
    </row>
    <row r="781" spans="2:3" x14ac:dyDescent="0.3">
      <c r="B781" s="87">
        <v>45145</v>
      </c>
      <c r="C781">
        <v>19597.3</v>
      </c>
    </row>
    <row r="782" spans="2:3" x14ac:dyDescent="0.3">
      <c r="B782" s="87">
        <v>45142</v>
      </c>
      <c r="C782">
        <v>19517</v>
      </c>
    </row>
    <row r="783" spans="2:3" x14ac:dyDescent="0.3">
      <c r="B783" s="87">
        <v>45141</v>
      </c>
      <c r="C783">
        <v>19381.650000000001</v>
      </c>
    </row>
    <row r="784" spans="2:3" x14ac:dyDescent="0.3">
      <c r="B784" s="87">
        <v>45140</v>
      </c>
      <c r="C784">
        <v>19526.55</v>
      </c>
    </row>
    <row r="785" spans="2:3" x14ac:dyDescent="0.3">
      <c r="B785" s="87">
        <v>45139</v>
      </c>
      <c r="C785">
        <v>19733.55</v>
      </c>
    </row>
    <row r="786" spans="2:3" x14ac:dyDescent="0.3">
      <c r="B786" s="87">
        <v>45138</v>
      </c>
      <c r="C786">
        <v>19753.8</v>
      </c>
    </row>
    <row r="787" spans="2:3" x14ac:dyDescent="0.3">
      <c r="B787" s="87">
        <v>45135</v>
      </c>
      <c r="C787">
        <v>19646.05</v>
      </c>
    </row>
    <row r="788" spans="2:3" x14ac:dyDescent="0.3">
      <c r="B788" s="87">
        <v>45134</v>
      </c>
      <c r="C788">
        <v>19659.900000000001</v>
      </c>
    </row>
    <row r="789" spans="2:3" x14ac:dyDescent="0.3">
      <c r="B789" s="87">
        <v>45133</v>
      </c>
      <c r="C789">
        <v>19778.3</v>
      </c>
    </row>
    <row r="790" spans="2:3" x14ac:dyDescent="0.3">
      <c r="B790" s="87">
        <v>45132</v>
      </c>
      <c r="C790">
        <v>19680.599999999999</v>
      </c>
    </row>
    <row r="791" spans="2:3" x14ac:dyDescent="0.3">
      <c r="B791" s="87">
        <v>45131</v>
      </c>
      <c r="C791">
        <v>19672.349999999999</v>
      </c>
    </row>
    <row r="792" spans="2:3" x14ac:dyDescent="0.3">
      <c r="B792" s="87">
        <v>45128</v>
      </c>
      <c r="C792">
        <v>19745</v>
      </c>
    </row>
    <row r="793" spans="2:3" x14ac:dyDescent="0.3">
      <c r="B793" s="87">
        <v>45127</v>
      </c>
      <c r="C793">
        <v>19979.150000000001</v>
      </c>
    </row>
    <row r="794" spans="2:3" x14ac:dyDescent="0.3">
      <c r="B794" s="87">
        <v>45126</v>
      </c>
      <c r="C794">
        <v>19833.150000000001</v>
      </c>
    </row>
    <row r="795" spans="2:3" x14ac:dyDescent="0.3">
      <c r="B795" s="87">
        <v>45125</v>
      </c>
      <c r="C795">
        <v>19749.25</v>
      </c>
    </row>
    <row r="796" spans="2:3" x14ac:dyDescent="0.3">
      <c r="B796" s="87">
        <v>45124</v>
      </c>
      <c r="C796">
        <v>19711.45</v>
      </c>
    </row>
    <row r="797" spans="2:3" x14ac:dyDescent="0.3">
      <c r="B797" s="87">
        <v>45121</v>
      </c>
      <c r="C797">
        <v>19564.5</v>
      </c>
    </row>
    <row r="798" spans="2:3" x14ac:dyDescent="0.3">
      <c r="B798" s="87">
        <v>45120</v>
      </c>
      <c r="C798">
        <v>19413.75</v>
      </c>
    </row>
    <row r="799" spans="2:3" x14ac:dyDescent="0.3">
      <c r="B799" s="87">
        <v>45119</v>
      </c>
      <c r="C799">
        <v>19384.3</v>
      </c>
    </row>
    <row r="800" spans="2:3" x14ac:dyDescent="0.3">
      <c r="B800" s="87">
        <v>45118</v>
      </c>
      <c r="C800">
        <v>19439.400000000001</v>
      </c>
    </row>
    <row r="801" spans="2:3" x14ac:dyDescent="0.3">
      <c r="B801" s="87">
        <v>45117</v>
      </c>
      <c r="C801">
        <v>19355.900000000001</v>
      </c>
    </row>
    <row r="802" spans="2:3" x14ac:dyDescent="0.3">
      <c r="B802" s="87">
        <v>45114</v>
      </c>
      <c r="C802">
        <v>19331.8</v>
      </c>
    </row>
    <row r="803" spans="2:3" x14ac:dyDescent="0.3">
      <c r="B803" s="87">
        <v>45113</v>
      </c>
      <c r="C803">
        <v>19497.3</v>
      </c>
    </row>
    <row r="804" spans="2:3" x14ac:dyDescent="0.3">
      <c r="B804" s="87">
        <v>45112</v>
      </c>
      <c r="C804">
        <v>19398.5</v>
      </c>
    </row>
    <row r="805" spans="2:3" x14ac:dyDescent="0.3">
      <c r="B805" s="87">
        <v>45111</v>
      </c>
      <c r="C805">
        <v>19389</v>
      </c>
    </row>
    <row r="806" spans="2:3" x14ac:dyDescent="0.3">
      <c r="B806" s="87">
        <v>45110</v>
      </c>
      <c r="C806">
        <v>19322.55</v>
      </c>
    </row>
    <row r="807" spans="2:3" x14ac:dyDescent="0.3">
      <c r="B807" s="87">
        <v>45107</v>
      </c>
      <c r="C807">
        <v>19189.05</v>
      </c>
    </row>
    <row r="808" spans="2:3" x14ac:dyDescent="0.3">
      <c r="B808" s="87">
        <v>45105</v>
      </c>
      <c r="C808">
        <v>18972.099999999999</v>
      </c>
    </row>
    <row r="809" spans="2:3" x14ac:dyDescent="0.3">
      <c r="B809" s="87">
        <v>45104</v>
      </c>
      <c r="C809">
        <v>18817.400000000001</v>
      </c>
    </row>
    <row r="810" spans="2:3" x14ac:dyDescent="0.3">
      <c r="B810" s="87">
        <v>45103</v>
      </c>
      <c r="C810">
        <v>18691.2</v>
      </c>
    </row>
    <row r="811" spans="2:3" x14ac:dyDescent="0.3">
      <c r="B811" s="87">
        <v>45100</v>
      </c>
      <c r="C811">
        <v>18665.5</v>
      </c>
    </row>
    <row r="812" spans="2:3" x14ac:dyDescent="0.3">
      <c r="B812" s="87">
        <v>45099</v>
      </c>
      <c r="C812">
        <v>18771.25</v>
      </c>
    </row>
    <row r="813" spans="2:3" x14ac:dyDescent="0.3">
      <c r="B813" s="87">
        <v>45098</v>
      </c>
      <c r="C813">
        <v>18856.849999999999</v>
      </c>
    </row>
    <row r="814" spans="2:3" x14ac:dyDescent="0.3">
      <c r="B814" s="87">
        <v>45097</v>
      </c>
      <c r="C814">
        <v>18816.7</v>
      </c>
    </row>
    <row r="815" spans="2:3" x14ac:dyDescent="0.3">
      <c r="B815" s="87">
        <v>45096</v>
      </c>
      <c r="C815">
        <v>18755.45</v>
      </c>
    </row>
    <row r="816" spans="2:3" x14ac:dyDescent="0.3">
      <c r="B816" s="87">
        <v>45093</v>
      </c>
      <c r="C816">
        <v>18826</v>
      </c>
    </row>
    <row r="817" spans="2:3" x14ac:dyDescent="0.3">
      <c r="B817" s="87">
        <v>45092</v>
      </c>
      <c r="C817">
        <v>18688.099999999999</v>
      </c>
    </row>
    <row r="818" spans="2:3" x14ac:dyDescent="0.3">
      <c r="B818" s="87">
        <v>45091</v>
      </c>
      <c r="C818">
        <v>18755.900000000001</v>
      </c>
    </row>
    <row r="819" spans="2:3" x14ac:dyDescent="0.3">
      <c r="B819" s="87">
        <v>45090</v>
      </c>
      <c r="C819">
        <v>18716.150000000001</v>
      </c>
    </row>
    <row r="820" spans="2:3" x14ac:dyDescent="0.3">
      <c r="B820" s="87">
        <v>45089</v>
      </c>
      <c r="C820">
        <v>18601.5</v>
      </c>
    </row>
    <row r="821" spans="2:3" x14ac:dyDescent="0.3">
      <c r="B821" s="87">
        <v>45086</v>
      </c>
      <c r="C821">
        <v>18563.400000000001</v>
      </c>
    </row>
    <row r="822" spans="2:3" x14ac:dyDescent="0.3">
      <c r="B822" s="87">
        <v>45085</v>
      </c>
      <c r="C822">
        <v>18634.55</v>
      </c>
    </row>
    <row r="823" spans="2:3" x14ac:dyDescent="0.3">
      <c r="B823" s="87">
        <v>45084</v>
      </c>
      <c r="C823">
        <v>18726.400000000001</v>
      </c>
    </row>
    <row r="824" spans="2:3" x14ac:dyDescent="0.3">
      <c r="B824" s="87">
        <v>45083</v>
      </c>
      <c r="C824">
        <v>18599</v>
      </c>
    </row>
    <row r="825" spans="2:3" x14ac:dyDescent="0.3">
      <c r="B825" s="87">
        <v>45082</v>
      </c>
      <c r="C825">
        <v>18593.849999999999</v>
      </c>
    </row>
    <row r="826" spans="2:3" x14ac:dyDescent="0.3">
      <c r="B826" s="87">
        <v>45079</v>
      </c>
      <c r="C826">
        <v>18534.099999999999</v>
      </c>
    </row>
    <row r="827" spans="2:3" x14ac:dyDescent="0.3">
      <c r="B827" s="87">
        <v>45078</v>
      </c>
      <c r="C827">
        <v>18487.75</v>
      </c>
    </row>
    <row r="828" spans="2:3" x14ac:dyDescent="0.3">
      <c r="B828" s="87">
        <v>45077</v>
      </c>
      <c r="C828">
        <v>18534.400000000001</v>
      </c>
    </row>
    <row r="829" spans="2:3" x14ac:dyDescent="0.3">
      <c r="B829" s="87">
        <v>45076</v>
      </c>
      <c r="C829">
        <v>18633.849999999999</v>
      </c>
    </row>
    <row r="830" spans="2:3" x14ac:dyDescent="0.3">
      <c r="B830" s="87">
        <v>45075</v>
      </c>
      <c r="C830">
        <v>18598.650000000001</v>
      </c>
    </row>
    <row r="831" spans="2:3" x14ac:dyDescent="0.3">
      <c r="B831" s="87">
        <v>45072</v>
      </c>
      <c r="C831">
        <v>18499.349999999999</v>
      </c>
    </row>
    <row r="832" spans="2:3" x14ac:dyDescent="0.3">
      <c r="B832" s="87">
        <v>45071</v>
      </c>
      <c r="C832">
        <v>18321.150000000001</v>
      </c>
    </row>
    <row r="833" spans="2:3" x14ac:dyDescent="0.3">
      <c r="B833" s="87">
        <v>45070</v>
      </c>
      <c r="C833">
        <v>18285.400000000001</v>
      </c>
    </row>
    <row r="834" spans="2:3" x14ac:dyDescent="0.3">
      <c r="B834" s="87">
        <v>45069</v>
      </c>
      <c r="C834">
        <v>18348</v>
      </c>
    </row>
    <row r="835" spans="2:3" x14ac:dyDescent="0.3">
      <c r="B835" s="87">
        <v>45068</v>
      </c>
      <c r="C835">
        <v>18314.400000000001</v>
      </c>
    </row>
    <row r="836" spans="2:3" x14ac:dyDescent="0.3">
      <c r="B836" s="87">
        <v>45065</v>
      </c>
      <c r="C836">
        <v>18203.400000000001</v>
      </c>
    </row>
    <row r="837" spans="2:3" x14ac:dyDescent="0.3">
      <c r="B837" s="87">
        <v>45064</v>
      </c>
      <c r="C837">
        <v>18129.95</v>
      </c>
    </row>
    <row r="838" spans="2:3" x14ac:dyDescent="0.3">
      <c r="B838" s="87">
        <v>45063</v>
      </c>
      <c r="C838">
        <v>18181.75</v>
      </c>
    </row>
    <row r="839" spans="2:3" x14ac:dyDescent="0.3">
      <c r="B839" s="87">
        <v>45062</v>
      </c>
      <c r="C839">
        <v>18286.5</v>
      </c>
    </row>
    <row r="840" spans="2:3" x14ac:dyDescent="0.3">
      <c r="B840" s="87">
        <v>45061</v>
      </c>
      <c r="C840">
        <v>18398.849999999999</v>
      </c>
    </row>
    <row r="841" spans="2:3" x14ac:dyDescent="0.3">
      <c r="B841" s="87">
        <v>45058</v>
      </c>
      <c r="C841">
        <v>18314.8</v>
      </c>
    </row>
    <row r="842" spans="2:3" x14ac:dyDescent="0.3">
      <c r="B842" s="87">
        <v>45057</v>
      </c>
      <c r="C842">
        <v>18297</v>
      </c>
    </row>
    <row r="843" spans="2:3" x14ac:dyDescent="0.3">
      <c r="B843" s="87">
        <v>45056</v>
      </c>
      <c r="C843">
        <v>18315.099999999999</v>
      </c>
    </row>
    <row r="844" spans="2:3" x14ac:dyDescent="0.3">
      <c r="B844" s="87">
        <v>45055</v>
      </c>
      <c r="C844">
        <v>18265.95</v>
      </c>
    </row>
    <row r="845" spans="2:3" x14ac:dyDescent="0.3">
      <c r="B845" s="87">
        <v>45054</v>
      </c>
      <c r="C845">
        <v>18264.400000000001</v>
      </c>
    </row>
    <row r="846" spans="2:3" x14ac:dyDescent="0.3">
      <c r="B846" s="87">
        <v>45051</v>
      </c>
      <c r="C846">
        <v>18069</v>
      </c>
    </row>
    <row r="847" spans="2:3" x14ac:dyDescent="0.3">
      <c r="B847" s="87">
        <v>45050</v>
      </c>
      <c r="C847">
        <v>18255.8</v>
      </c>
    </row>
    <row r="848" spans="2:3" x14ac:dyDescent="0.3">
      <c r="B848" s="87">
        <v>45049</v>
      </c>
      <c r="C848">
        <v>18089.849999999999</v>
      </c>
    </row>
    <row r="849" spans="2:3" x14ac:dyDescent="0.3">
      <c r="B849" s="87">
        <v>45048</v>
      </c>
      <c r="C849">
        <v>18147.650000000001</v>
      </c>
    </row>
    <row r="850" spans="2:3" x14ac:dyDescent="0.3">
      <c r="B850" s="87">
        <v>45044</v>
      </c>
      <c r="C850">
        <v>18065</v>
      </c>
    </row>
    <row r="851" spans="2:3" x14ac:dyDescent="0.3">
      <c r="B851" s="87">
        <v>45043</v>
      </c>
      <c r="C851">
        <v>17915.05</v>
      </c>
    </row>
    <row r="852" spans="2:3" x14ac:dyDescent="0.3">
      <c r="B852" s="87">
        <v>45042</v>
      </c>
      <c r="C852">
        <v>17813.599999999999</v>
      </c>
    </row>
    <row r="853" spans="2:3" x14ac:dyDescent="0.3">
      <c r="B853" s="87">
        <v>45041</v>
      </c>
      <c r="C853">
        <v>17769.25</v>
      </c>
    </row>
    <row r="854" spans="2:3" x14ac:dyDescent="0.3">
      <c r="B854" s="87">
        <v>45040</v>
      </c>
      <c r="C854">
        <v>17743.400000000001</v>
      </c>
    </row>
    <row r="855" spans="2:3" x14ac:dyDescent="0.3">
      <c r="B855" s="87">
        <v>45037</v>
      </c>
      <c r="C855">
        <v>17624.05</v>
      </c>
    </row>
    <row r="856" spans="2:3" x14ac:dyDescent="0.3">
      <c r="B856" s="87">
        <v>45036</v>
      </c>
      <c r="C856">
        <v>17624.45</v>
      </c>
    </row>
    <row r="857" spans="2:3" x14ac:dyDescent="0.3">
      <c r="B857" s="87">
        <v>45035</v>
      </c>
      <c r="C857">
        <v>17618.75</v>
      </c>
    </row>
    <row r="858" spans="2:3" x14ac:dyDescent="0.3">
      <c r="B858" s="87">
        <v>45034</v>
      </c>
      <c r="C858">
        <v>17660.150000000001</v>
      </c>
    </row>
    <row r="859" spans="2:3" x14ac:dyDescent="0.3">
      <c r="B859" s="87">
        <v>45033</v>
      </c>
      <c r="C859">
        <v>17706.849999999999</v>
      </c>
    </row>
    <row r="860" spans="2:3" x14ac:dyDescent="0.3">
      <c r="B860" s="87">
        <v>45029</v>
      </c>
      <c r="C860">
        <v>17828</v>
      </c>
    </row>
    <row r="861" spans="2:3" x14ac:dyDescent="0.3">
      <c r="B861" s="87">
        <v>45028</v>
      </c>
      <c r="C861">
        <v>17812.400000000001</v>
      </c>
    </row>
    <row r="862" spans="2:3" x14ac:dyDescent="0.3">
      <c r="B862" s="87">
        <v>45027</v>
      </c>
      <c r="C862">
        <v>17722.3</v>
      </c>
    </row>
    <row r="863" spans="2:3" x14ac:dyDescent="0.3">
      <c r="B863" s="87">
        <v>45026</v>
      </c>
      <c r="C863">
        <v>17624.05</v>
      </c>
    </row>
    <row r="864" spans="2:3" x14ac:dyDescent="0.3">
      <c r="B864" s="87">
        <v>45022</v>
      </c>
      <c r="C864">
        <v>17599.150000000001</v>
      </c>
    </row>
    <row r="865" spans="2:3" x14ac:dyDescent="0.3">
      <c r="B865" s="87">
        <v>45021</v>
      </c>
      <c r="C865">
        <v>17557.05</v>
      </c>
    </row>
    <row r="866" spans="2:3" x14ac:dyDescent="0.3">
      <c r="B866" s="87">
        <v>45019</v>
      </c>
      <c r="C866">
        <v>17398.05</v>
      </c>
    </row>
    <row r="867" spans="2:3" x14ac:dyDescent="0.3">
      <c r="B867" s="87">
        <v>45016</v>
      </c>
      <c r="C867">
        <v>17359.75</v>
      </c>
    </row>
    <row r="868" spans="2:3" x14ac:dyDescent="0.3">
      <c r="B868" s="87">
        <v>45014</v>
      </c>
      <c r="C868">
        <v>17080.7</v>
      </c>
    </row>
    <row r="869" spans="2:3" x14ac:dyDescent="0.3">
      <c r="B869" s="87">
        <v>45013</v>
      </c>
      <c r="C869">
        <v>16951.7</v>
      </c>
    </row>
    <row r="870" spans="2:3" x14ac:dyDescent="0.3">
      <c r="B870" s="87">
        <v>45012</v>
      </c>
      <c r="C870">
        <v>16985.7</v>
      </c>
    </row>
    <row r="871" spans="2:3" x14ac:dyDescent="0.3">
      <c r="B871" s="87">
        <v>45009</v>
      </c>
      <c r="C871">
        <v>16945.05</v>
      </c>
    </row>
    <row r="872" spans="2:3" x14ac:dyDescent="0.3">
      <c r="B872" s="87">
        <v>45008</v>
      </c>
      <c r="C872">
        <v>17076.900000000001</v>
      </c>
    </row>
    <row r="873" spans="2:3" x14ac:dyDescent="0.3">
      <c r="B873" s="87">
        <v>45007</v>
      </c>
      <c r="C873">
        <v>17151.900000000001</v>
      </c>
    </row>
    <row r="874" spans="2:3" x14ac:dyDescent="0.3">
      <c r="B874" s="87">
        <v>45006</v>
      </c>
      <c r="C874">
        <v>17107.5</v>
      </c>
    </row>
    <row r="875" spans="2:3" x14ac:dyDescent="0.3">
      <c r="B875" s="87">
        <v>45005</v>
      </c>
      <c r="C875">
        <v>16988.400000000001</v>
      </c>
    </row>
    <row r="876" spans="2:3" x14ac:dyDescent="0.3">
      <c r="B876" s="87">
        <v>45002</v>
      </c>
      <c r="C876">
        <v>17100.05</v>
      </c>
    </row>
    <row r="877" spans="2:3" x14ac:dyDescent="0.3">
      <c r="B877" s="87">
        <v>45001</v>
      </c>
      <c r="C877">
        <v>16985.599999999999</v>
      </c>
    </row>
    <row r="878" spans="2:3" x14ac:dyDescent="0.3">
      <c r="B878" s="87">
        <v>45000</v>
      </c>
      <c r="C878">
        <v>16972.150000000001</v>
      </c>
    </row>
    <row r="879" spans="2:3" x14ac:dyDescent="0.3">
      <c r="B879" s="87">
        <v>44999</v>
      </c>
      <c r="C879">
        <v>17043.3</v>
      </c>
    </row>
    <row r="880" spans="2:3" x14ac:dyDescent="0.3">
      <c r="B880" s="87">
        <v>44998</v>
      </c>
      <c r="C880">
        <v>17154.3</v>
      </c>
    </row>
    <row r="881" spans="2:3" x14ac:dyDescent="0.3">
      <c r="B881" s="87">
        <v>44995</v>
      </c>
      <c r="C881">
        <v>17412.900000000001</v>
      </c>
    </row>
    <row r="882" spans="2:3" x14ac:dyDescent="0.3">
      <c r="B882" s="87">
        <v>44994</v>
      </c>
      <c r="C882">
        <v>17589.599999999999</v>
      </c>
    </row>
    <row r="883" spans="2:3" x14ac:dyDescent="0.3">
      <c r="B883" s="87">
        <v>44993</v>
      </c>
      <c r="C883">
        <v>17754.400000000001</v>
      </c>
    </row>
    <row r="884" spans="2:3" x14ac:dyDescent="0.3">
      <c r="B884" s="87">
        <v>44991</v>
      </c>
      <c r="C884">
        <v>17711.45</v>
      </c>
    </row>
    <row r="885" spans="2:3" x14ac:dyDescent="0.3">
      <c r="B885" s="87">
        <v>44988</v>
      </c>
      <c r="C885">
        <v>17594.349999999999</v>
      </c>
    </row>
    <row r="886" spans="2:3" x14ac:dyDescent="0.3">
      <c r="B886" s="87">
        <v>44987</v>
      </c>
      <c r="C886">
        <v>17321.900000000001</v>
      </c>
    </row>
    <row r="887" spans="2:3" x14ac:dyDescent="0.3">
      <c r="B887" s="87">
        <v>44986</v>
      </c>
      <c r="C887">
        <v>17450.900000000001</v>
      </c>
    </row>
    <row r="888" spans="2:3" x14ac:dyDescent="0.3">
      <c r="B888" s="87">
        <v>44985</v>
      </c>
      <c r="C888">
        <v>17303.95</v>
      </c>
    </row>
    <row r="889" spans="2:3" x14ac:dyDescent="0.3">
      <c r="B889" s="87">
        <v>44984</v>
      </c>
      <c r="C889">
        <v>17392.7</v>
      </c>
    </row>
    <row r="890" spans="2:3" x14ac:dyDescent="0.3">
      <c r="B890" s="87">
        <v>44981</v>
      </c>
      <c r="C890">
        <v>17465.8</v>
      </c>
    </row>
    <row r="891" spans="2:3" x14ac:dyDescent="0.3">
      <c r="B891" s="87">
        <v>44980</v>
      </c>
      <c r="C891">
        <v>17511.25</v>
      </c>
    </row>
    <row r="892" spans="2:3" x14ac:dyDescent="0.3">
      <c r="B892" s="87">
        <v>44979</v>
      </c>
      <c r="C892">
        <v>17554.3</v>
      </c>
    </row>
    <row r="893" spans="2:3" x14ac:dyDescent="0.3">
      <c r="B893" s="87">
        <v>44978</v>
      </c>
      <c r="C893">
        <v>17826.7</v>
      </c>
    </row>
    <row r="894" spans="2:3" x14ac:dyDescent="0.3">
      <c r="B894" s="87">
        <v>44977</v>
      </c>
      <c r="C894">
        <v>17844.599999999999</v>
      </c>
    </row>
    <row r="895" spans="2:3" x14ac:dyDescent="0.3">
      <c r="B895" s="87">
        <v>44974</v>
      </c>
      <c r="C895">
        <v>17944.2</v>
      </c>
    </row>
    <row r="896" spans="2:3" x14ac:dyDescent="0.3">
      <c r="B896" s="87">
        <v>44973</v>
      </c>
      <c r="C896">
        <v>18035.849999999999</v>
      </c>
    </row>
    <row r="897" spans="2:3" x14ac:dyDescent="0.3">
      <c r="B897" s="87">
        <v>44972</v>
      </c>
      <c r="C897">
        <v>18015.849999999999</v>
      </c>
    </row>
    <row r="898" spans="2:3" x14ac:dyDescent="0.3">
      <c r="B898" s="87">
        <v>44971</v>
      </c>
      <c r="C898">
        <v>17929.849999999999</v>
      </c>
    </row>
    <row r="899" spans="2:3" x14ac:dyDescent="0.3">
      <c r="B899" s="87">
        <v>44970</v>
      </c>
      <c r="C899">
        <v>17770.900000000001</v>
      </c>
    </row>
    <row r="900" spans="2:3" x14ac:dyDescent="0.3">
      <c r="B900" s="87">
        <v>44967</v>
      </c>
      <c r="C900">
        <v>17856.5</v>
      </c>
    </row>
    <row r="901" spans="2:3" x14ac:dyDescent="0.3">
      <c r="B901" s="87">
        <v>44966</v>
      </c>
      <c r="C901">
        <v>17893.45</v>
      </c>
    </row>
    <row r="902" spans="2:3" x14ac:dyDescent="0.3">
      <c r="B902" s="87">
        <v>44965</v>
      </c>
      <c r="C902">
        <v>17871.7</v>
      </c>
    </row>
    <row r="903" spans="2:3" x14ac:dyDescent="0.3">
      <c r="B903" s="87">
        <v>44964</v>
      </c>
      <c r="C903">
        <v>17721.5</v>
      </c>
    </row>
    <row r="904" spans="2:3" x14ac:dyDescent="0.3">
      <c r="B904" s="87">
        <v>44963</v>
      </c>
      <c r="C904">
        <v>17764.599999999999</v>
      </c>
    </row>
    <row r="905" spans="2:3" x14ac:dyDescent="0.3">
      <c r="B905" s="87">
        <v>44960</v>
      </c>
      <c r="C905">
        <v>17854.05</v>
      </c>
    </row>
    <row r="906" spans="2:3" x14ac:dyDescent="0.3">
      <c r="B906" s="87">
        <v>44959</v>
      </c>
      <c r="C906">
        <v>17610.400000000001</v>
      </c>
    </row>
    <row r="907" spans="2:3" x14ac:dyDescent="0.3">
      <c r="B907" s="87">
        <v>44958</v>
      </c>
      <c r="C907">
        <v>17616.3</v>
      </c>
    </row>
    <row r="908" spans="2:3" x14ac:dyDescent="0.3">
      <c r="B908" s="87">
        <v>44957</v>
      </c>
      <c r="C908">
        <v>17662.150000000001</v>
      </c>
    </row>
    <row r="909" spans="2:3" x14ac:dyDescent="0.3">
      <c r="B909" s="87">
        <v>44956</v>
      </c>
      <c r="C909">
        <v>17648.95</v>
      </c>
    </row>
    <row r="910" spans="2:3" x14ac:dyDescent="0.3">
      <c r="B910" s="87">
        <v>44953</v>
      </c>
      <c r="C910">
        <v>17604.349999999999</v>
      </c>
    </row>
    <row r="911" spans="2:3" x14ac:dyDescent="0.3">
      <c r="B911" s="87">
        <v>44951</v>
      </c>
      <c r="C911">
        <v>17891.95</v>
      </c>
    </row>
    <row r="912" spans="2:3" x14ac:dyDescent="0.3">
      <c r="B912" s="87">
        <v>44950</v>
      </c>
      <c r="C912">
        <v>18118.3</v>
      </c>
    </row>
    <row r="913" spans="2:3" x14ac:dyDescent="0.3">
      <c r="B913" s="87">
        <v>44949</v>
      </c>
      <c r="C913">
        <v>18118.55</v>
      </c>
    </row>
    <row r="914" spans="2:3" x14ac:dyDescent="0.3">
      <c r="B914" s="87">
        <v>44946</v>
      </c>
      <c r="C914">
        <v>18027.650000000001</v>
      </c>
    </row>
    <row r="915" spans="2:3" x14ac:dyDescent="0.3">
      <c r="B915" s="87">
        <v>44945</v>
      </c>
      <c r="C915">
        <v>18107.849999999999</v>
      </c>
    </row>
    <row r="916" spans="2:3" x14ac:dyDescent="0.3">
      <c r="B916" s="87">
        <v>44944</v>
      </c>
      <c r="C916">
        <v>18165.349999999999</v>
      </c>
    </row>
    <row r="917" spans="2:3" x14ac:dyDescent="0.3">
      <c r="B917" s="87">
        <v>44943</v>
      </c>
      <c r="C917">
        <v>18053.3</v>
      </c>
    </row>
    <row r="918" spans="2:3" x14ac:dyDescent="0.3">
      <c r="B918" s="87">
        <v>44942</v>
      </c>
      <c r="C918">
        <v>17894.849999999999</v>
      </c>
    </row>
    <row r="919" spans="2:3" x14ac:dyDescent="0.3">
      <c r="B919" s="87">
        <v>44939</v>
      </c>
      <c r="C919">
        <v>17956.599999999999</v>
      </c>
    </row>
    <row r="920" spans="2:3" x14ac:dyDescent="0.3">
      <c r="B920" s="87">
        <v>44938</v>
      </c>
      <c r="C920">
        <v>17858.2</v>
      </c>
    </row>
    <row r="921" spans="2:3" x14ac:dyDescent="0.3">
      <c r="B921" s="87">
        <v>44937</v>
      </c>
      <c r="C921">
        <v>17895.7</v>
      </c>
    </row>
    <row r="922" spans="2:3" x14ac:dyDescent="0.3">
      <c r="B922" s="87">
        <v>44936</v>
      </c>
      <c r="C922">
        <v>17914.150000000001</v>
      </c>
    </row>
    <row r="923" spans="2:3" x14ac:dyDescent="0.3">
      <c r="B923" s="87">
        <v>44935</v>
      </c>
      <c r="C923">
        <v>18101.2</v>
      </c>
    </row>
    <row r="924" spans="2:3" x14ac:dyDescent="0.3">
      <c r="B924" s="87">
        <v>44932</v>
      </c>
      <c r="C924">
        <v>17859.45</v>
      </c>
    </row>
    <row r="925" spans="2:3" x14ac:dyDescent="0.3">
      <c r="B925" s="87">
        <v>44931</v>
      </c>
      <c r="C925">
        <v>17992.150000000001</v>
      </c>
    </row>
    <row r="926" spans="2:3" x14ac:dyDescent="0.3">
      <c r="B926" s="87">
        <v>44930</v>
      </c>
      <c r="C926">
        <v>18042.95</v>
      </c>
    </row>
    <row r="927" spans="2:3" x14ac:dyDescent="0.3">
      <c r="B927" s="87">
        <v>44929</v>
      </c>
      <c r="C927">
        <v>18232.55</v>
      </c>
    </row>
    <row r="928" spans="2:3" x14ac:dyDescent="0.3">
      <c r="B928" s="87">
        <v>44928</v>
      </c>
      <c r="C928">
        <v>18197.45</v>
      </c>
    </row>
    <row r="929" spans="2:3" x14ac:dyDescent="0.3">
      <c r="B929" s="87">
        <v>44925</v>
      </c>
      <c r="C929">
        <v>18105.3</v>
      </c>
    </row>
    <row r="930" spans="2:3" x14ac:dyDescent="0.3">
      <c r="B930" s="87">
        <v>44924</v>
      </c>
      <c r="C930">
        <v>18191</v>
      </c>
    </row>
    <row r="931" spans="2:3" x14ac:dyDescent="0.3">
      <c r="B931" s="87">
        <v>44923</v>
      </c>
      <c r="C931">
        <v>18122.5</v>
      </c>
    </row>
    <row r="932" spans="2:3" x14ac:dyDescent="0.3">
      <c r="B932" s="87">
        <v>44922</v>
      </c>
      <c r="C932">
        <v>18132.3</v>
      </c>
    </row>
    <row r="933" spans="2:3" x14ac:dyDescent="0.3">
      <c r="B933" s="87">
        <v>44921</v>
      </c>
      <c r="C933">
        <v>18014.599999999999</v>
      </c>
    </row>
    <row r="934" spans="2:3" x14ac:dyDescent="0.3">
      <c r="B934" s="87">
        <v>44918</v>
      </c>
      <c r="C934">
        <v>17806.8</v>
      </c>
    </row>
    <row r="935" spans="2:3" x14ac:dyDescent="0.3">
      <c r="B935" s="87">
        <v>44917</v>
      </c>
      <c r="C935">
        <v>18127.349999999999</v>
      </c>
    </row>
    <row r="936" spans="2:3" x14ac:dyDescent="0.3">
      <c r="B936" s="87">
        <v>44916</v>
      </c>
      <c r="C936">
        <v>18199.099999999999</v>
      </c>
    </row>
    <row r="937" spans="2:3" x14ac:dyDescent="0.3">
      <c r="B937" s="87">
        <v>44915</v>
      </c>
      <c r="C937">
        <v>18385.3</v>
      </c>
    </row>
    <row r="938" spans="2:3" x14ac:dyDescent="0.3">
      <c r="B938" s="87">
        <v>44914</v>
      </c>
      <c r="C938">
        <v>18420.45</v>
      </c>
    </row>
    <row r="939" spans="2:3" x14ac:dyDescent="0.3">
      <c r="B939" s="87">
        <v>44911</v>
      </c>
      <c r="C939">
        <v>18269</v>
      </c>
    </row>
    <row r="940" spans="2:3" x14ac:dyDescent="0.3">
      <c r="B940" s="87">
        <v>44910</v>
      </c>
      <c r="C940">
        <v>18414.900000000001</v>
      </c>
    </row>
    <row r="941" spans="2:3" x14ac:dyDescent="0.3">
      <c r="B941" s="87">
        <v>44909</v>
      </c>
      <c r="C941">
        <v>18660.3</v>
      </c>
    </row>
    <row r="942" spans="2:3" x14ac:dyDescent="0.3">
      <c r="B942" s="87">
        <v>44908</v>
      </c>
      <c r="C942">
        <v>18608</v>
      </c>
    </row>
    <row r="943" spans="2:3" x14ac:dyDescent="0.3">
      <c r="B943" s="87">
        <v>44907</v>
      </c>
      <c r="C943">
        <v>18497.150000000001</v>
      </c>
    </row>
    <row r="944" spans="2:3" x14ac:dyDescent="0.3">
      <c r="B944" s="87">
        <v>44904</v>
      </c>
      <c r="C944">
        <v>18496.599999999999</v>
      </c>
    </row>
    <row r="945" spans="2:3" x14ac:dyDescent="0.3">
      <c r="B945" s="87">
        <v>44903</v>
      </c>
      <c r="C945">
        <v>18609.349999999999</v>
      </c>
    </row>
    <row r="946" spans="2:3" x14ac:dyDescent="0.3">
      <c r="B946" s="87">
        <v>44902</v>
      </c>
      <c r="C946">
        <v>18560.5</v>
      </c>
    </row>
    <row r="947" spans="2:3" x14ac:dyDescent="0.3">
      <c r="B947" s="87">
        <v>44901</v>
      </c>
      <c r="C947">
        <v>18642.75</v>
      </c>
    </row>
    <row r="948" spans="2:3" x14ac:dyDescent="0.3">
      <c r="B948" s="87">
        <v>44900</v>
      </c>
      <c r="C948">
        <v>18701.05</v>
      </c>
    </row>
    <row r="949" spans="2:3" x14ac:dyDescent="0.3">
      <c r="B949" s="87">
        <v>44897</v>
      </c>
      <c r="C949">
        <v>18696.099999999999</v>
      </c>
    </row>
    <row r="950" spans="2:3" x14ac:dyDescent="0.3">
      <c r="B950" s="87">
        <v>44896</v>
      </c>
      <c r="C950">
        <v>18812.5</v>
      </c>
    </row>
    <row r="951" spans="2:3" x14ac:dyDescent="0.3">
      <c r="B951" s="87">
        <v>44895</v>
      </c>
      <c r="C951">
        <v>18758.349999999999</v>
      </c>
    </row>
    <row r="952" spans="2:3" x14ac:dyDescent="0.3">
      <c r="B952" s="87">
        <v>44894</v>
      </c>
      <c r="C952">
        <v>18618.05</v>
      </c>
    </row>
    <row r="953" spans="2:3" x14ac:dyDescent="0.3">
      <c r="B953" s="87">
        <v>44893</v>
      </c>
      <c r="C953">
        <v>18562.75</v>
      </c>
    </row>
    <row r="954" spans="2:3" x14ac:dyDescent="0.3">
      <c r="B954" s="87">
        <v>44890</v>
      </c>
      <c r="C954">
        <v>18512.75</v>
      </c>
    </row>
    <row r="955" spans="2:3" x14ac:dyDescent="0.3">
      <c r="B955" s="87">
        <v>44889</v>
      </c>
      <c r="C955">
        <v>18484.099999999999</v>
      </c>
    </row>
    <row r="956" spans="2:3" x14ac:dyDescent="0.3">
      <c r="B956" s="87">
        <v>44888</v>
      </c>
      <c r="C956">
        <v>18267.25</v>
      </c>
    </row>
    <row r="957" spans="2:3" x14ac:dyDescent="0.3">
      <c r="B957" s="87">
        <v>44887</v>
      </c>
      <c r="C957">
        <v>18244.2</v>
      </c>
    </row>
    <row r="958" spans="2:3" x14ac:dyDescent="0.3">
      <c r="B958" s="87">
        <v>44886</v>
      </c>
      <c r="C958">
        <v>18159.95</v>
      </c>
    </row>
    <row r="959" spans="2:3" x14ac:dyDescent="0.3">
      <c r="B959" s="87">
        <v>44883</v>
      </c>
      <c r="C959">
        <v>18307.650000000001</v>
      </c>
    </row>
    <row r="960" spans="2:3" x14ac:dyDescent="0.3">
      <c r="B960" s="87">
        <v>44882</v>
      </c>
      <c r="C960">
        <v>18343.900000000001</v>
      </c>
    </row>
    <row r="961" spans="2:3" x14ac:dyDescent="0.3">
      <c r="B961" s="87">
        <v>44881</v>
      </c>
      <c r="C961">
        <v>18409.650000000001</v>
      </c>
    </row>
    <row r="962" spans="2:3" x14ac:dyDescent="0.3">
      <c r="B962" s="87">
        <v>44880</v>
      </c>
      <c r="C962">
        <v>18403.400000000001</v>
      </c>
    </row>
    <row r="963" spans="2:3" x14ac:dyDescent="0.3">
      <c r="B963" s="87">
        <v>44879</v>
      </c>
      <c r="C963">
        <v>18329.150000000001</v>
      </c>
    </row>
    <row r="964" spans="2:3" x14ac:dyDescent="0.3">
      <c r="B964" s="87">
        <v>44876</v>
      </c>
      <c r="C964">
        <v>18349.7</v>
      </c>
    </row>
    <row r="965" spans="2:3" x14ac:dyDescent="0.3">
      <c r="B965" s="87">
        <v>44875</v>
      </c>
      <c r="C965">
        <v>18028.2</v>
      </c>
    </row>
    <row r="966" spans="2:3" x14ac:dyDescent="0.3">
      <c r="B966" s="87">
        <v>44874</v>
      </c>
      <c r="C966">
        <v>18157</v>
      </c>
    </row>
    <row r="967" spans="2:3" x14ac:dyDescent="0.3">
      <c r="B967" s="87">
        <v>44872</v>
      </c>
      <c r="C967">
        <v>18202.8</v>
      </c>
    </row>
    <row r="968" spans="2:3" x14ac:dyDescent="0.3">
      <c r="B968" s="87">
        <v>44869</v>
      </c>
      <c r="C968">
        <v>18117.150000000001</v>
      </c>
    </row>
    <row r="969" spans="2:3" x14ac:dyDescent="0.3">
      <c r="B969" s="87">
        <v>44868</v>
      </c>
      <c r="C969">
        <v>18052.7</v>
      </c>
    </row>
    <row r="970" spans="2:3" x14ac:dyDescent="0.3">
      <c r="B970" s="87">
        <v>44867</v>
      </c>
      <c r="C970">
        <v>18082.849999999999</v>
      </c>
    </row>
    <row r="971" spans="2:3" x14ac:dyDescent="0.3">
      <c r="B971" s="87">
        <v>44866</v>
      </c>
      <c r="C971">
        <v>18145.400000000001</v>
      </c>
    </row>
    <row r="972" spans="2:3" x14ac:dyDescent="0.3">
      <c r="B972" s="87">
        <v>44865</v>
      </c>
      <c r="C972">
        <v>18012.2</v>
      </c>
    </row>
    <row r="973" spans="2:3" x14ac:dyDescent="0.3">
      <c r="B973" s="87">
        <v>44862</v>
      </c>
      <c r="C973">
        <v>17786.8</v>
      </c>
    </row>
    <row r="974" spans="2:3" x14ac:dyDescent="0.3">
      <c r="B974" s="87">
        <v>44861</v>
      </c>
      <c r="C974">
        <v>17736.95</v>
      </c>
    </row>
    <row r="975" spans="2:3" x14ac:dyDescent="0.3">
      <c r="B975" s="87">
        <v>44859</v>
      </c>
      <c r="C975">
        <v>17656.349999999999</v>
      </c>
    </row>
    <row r="976" spans="2:3" x14ac:dyDescent="0.3">
      <c r="B976" s="87">
        <v>44858</v>
      </c>
      <c r="C976">
        <v>17730.75</v>
      </c>
    </row>
    <row r="977" spans="2:3" x14ac:dyDescent="0.3">
      <c r="B977" s="87">
        <v>44855</v>
      </c>
      <c r="C977">
        <v>17576.3</v>
      </c>
    </row>
    <row r="978" spans="2:3" x14ac:dyDescent="0.3">
      <c r="B978" s="87">
        <v>44854</v>
      </c>
      <c r="C978">
        <v>17563.95</v>
      </c>
    </row>
    <row r="979" spans="2:3" x14ac:dyDescent="0.3">
      <c r="B979" s="87">
        <v>44853</v>
      </c>
      <c r="C979">
        <v>17512.25</v>
      </c>
    </row>
    <row r="980" spans="2:3" x14ac:dyDescent="0.3">
      <c r="B980" s="87">
        <v>44852</v>
      </c>
      <c r="C980">
        <v>17486.95</v>
      </c>
    </row>
    <row r="981" spans="2:3" x14ac:dyDescent="0.3">
      <c r="B981" s="87">
        <v>44851</v>
      </c>
      <c r="C981">
        <v>17311.8</v>
      </c>
    </row>
    <row r="982" spans="2:3" x14ac:dyDescent="0.3">
      <c r="B982" s="87">
        <v>44848</v>
      </c>
      <c r="C982">
        <v>17185.7</v>
      </c>
    </row>
    <row r="983" spans="2:3" x14ac:dyDescent="0.3">
      <c r="B983" s="87">
        <v>44847</v>
      </c>
      <c r="C983">
        <v>17014.349999999999</v>
      </c>
    </row>
    <row r="984" spans="2:3" x14ac:dyDescent="0.3">
      <c r="B984" s="87">
        <v>44846</v>
      </c>
      <c r="C984">
        <v>17123.599999999999</v>
      </c>
    </row>
    <row r="985" spans="2:3" x14ac:dyDescent="0.3">
      <c r="B985" s="87">
        <v>44845</v>
      </c>
      <c r="C985">
        <v>16983.55</v>
      </c>
    </row>
    <row r="986" spans="2:3" x14ac:dyDescent="0.3">
      <c r="B986" s="87">
        <v>44844</v>
      </c>
      <c r="C986">
        <v>17241</v>
      </c>
    </row>
    <row r="987" spans="2:3" x14ac:dyDescent="0.3">
      <c r="B987" s="87">
        <v>44841</v>
      </c>
      <c r="C987">
        <v>17314.650000000001</v>
      </c>
    </row>
    <row r="988" spans="2:3" x14ac:dyDescent="0.3">
      <c r="B988" s="87">
        <v>44840</v>
      </c>
      <c r="C988">
        <v>17331.8</v>
      </c>
    </row>
    <row r="989" spans="2:3" x14ac:dyDescent="0.3">
      <c r="B989" s="87">
        <v>44838</v>
      </c>
      <c r="C989">
        <v>17274.3</v>
      </c>
    </row>
    <row r="990" spans="2:3" x14ac:dyDescent="0.3">
      <c r="B990" s="87">
        <v>44837</v>
      </c>
      <c r="C990">
        <v>16887.349999999999</v>
      </c>
    </row>
    <row r="991" spans="2:3" x14ac:dyDescent="0.3">
      <c r="B991" s="87">
        <v>44834</v>
      </c>
      <c r="C991">
        <v>17094.349999999999</v>
      </c>
    </row>
    <row r="992" spans="2:3" x14ac:dyDescent="0.3">
      <c r="B992" s="87">
        <v>44833</v>
      </c>
      <c r="C992">
        <v>16818.099999999999</v>
      </c>
    </row>
    <row r="993" spans="2:3" x14ac:dyDescent="0.3">
      <c r="B993" s="87">
        <v>44832</v>
      </c>
      <c r="C993">
        <v>16858.599999999999</v>
      </c>
    </row>
    <row r="994" spans="2:3" x14ac:dyDescent="0.3">
      <c r="B994" s="87">
        <v>44831</v>
      </c>
      <c r="C994">
        <v>17007.400000000001</v>
      </c>
    </row>
    <row r="995" spans="2:3" x14ac:dyDescent="0.3">
      <c r="B995" s="87">
        <v>44830</v>
      </c>
      <c r="C995">
        <v>17016.3</v>
      </c>
    </row>
    <row r="996" spans="2:3" x14ac:dyDescent="0.3">
      <c r="B996" s="87">
        <v>44827</v>
      </c>
      <c r="C996">
        <v>17327.349999999999</v>
      </c>
    </row>
    <row r="997" spans="2:3" x14ac:dyDescent="0.3">
      <c r="B997" s="87">
        <v>44826</v>
      </c>
      <c r="C997">
        <v>17629.8</v>
      </c>
    </row>
    <row r="998" spans="2:3" x14ac:dyDescent="0.3">
      <c r="B998" s="87">
        <v>44825</v>
      </c>
      <c r="C998">
        <v>17718.349999999999</v>
      </c>
    </row>
    <row r="999" spans="2:3" x14ac:dyDescent="0.3">
      <c r="B999" s="87">
        <v>44824</v>
      </c>
      <c r="C999">
        <v>17816.25</v>
      </c>
    </row>
    <row r="1000" spans="2:3" x14ac:dyDescent="0.3">
      <c r="B1000" s="87">
        <v>44823</v>
      </c>
      <c r="C1000">
        <v>17622.25</v>
      </c>
    </row>
    <row r="1001" spans="2:3" x14ac:dyDescent="0.3">
      <c r="B1001" s="87">
        <v>44820</v>
      </c>
      <c r="C1001">
        <v>17530.849999999999</v>
      </c>
    </row>
    <row r="1002" spans="2:3" x14ac:dyDescent="0.3">
      <c r="B1002" s="87">
        <v>44819</v>
      </c>
      <c r="C1002">
        <v>17877.400000000001</v>
      </c>
    </row>
    <row r="1003" spans="2:3" x14ac:dyDescent="0.3">
      <c r="B1003" s="87">
        <v>44818</v>
      </c>
      <c r="C1003">
        <v>18003.75</v>
      </c>
    </row>
    <row r="1004" spans="2:3" x14ac:dyDescent="0.3">
      <c r="B1004" s="87">
        <v>44817</v>
      </c>
      <c r="C1004">
        <v>18070.05</v>
      </c>
    </row>
    <row r="1005" spans="2:3" x14ac:dyDescent="0.3">
      <c r="B1005" s="87">
        <v>44816</v>
      </c>
      <c r="C1005">
        <v>17936.349999999999</v>
      </c>
    </row>
    <row r="1006" spans="2:3" x14ac:dyDescent="0.3">
      <c r="B1006" s="87">
        <v>44813</v>
      </c>
      <c r="C1006">
        <v>17833.349999999999</v>
      </c>
    </row>
    <row r="1007" spans="2:3" x14ac:dyDescent="0.3">
      <c r="B1007" s="87">
        <v>44812</v>
      </c>
      <c r="C1007">
        <v>17798.75</v>
      </c>
    </row>
    <row r="1008" spans="2:3" x14ac:dyDescent="0.3">
      <c r="B1008" s="87">
        <v>44811</v>
      </c>
      <c r="C1008">
        <v>17624.400000000001</v>
      </c>
    </row>
    <row r="1009" spans="2:3" x14ac:dyDescent="0.3">
      <c r="B1009" s="87">
        <v>44810</v>
      </c>
      <c r="C1009">
        <v>17655.599999999999</v>
      </c>
    </row>
    <row r="1010" spans="2:3" x14ac:dyDescent="0.3">
      <c r="B1010" s="87">
        <v>44809</v>
      </c>
      <c r="C1010">
        <v>17665.8</v>
      </c>
    </row>
    <row r="1011" spans="2:3" x14ac:dyDescent="0.3">
      <c r="B1011" s="87">
        <v>44806</v>
      </c>
      <c r="C1011">
        <v>17539.45</v>
      </c>
    </row>
    <row r="1012" spans="2:3" x14ac:dyDescent="0.3">
      <c r="B1012" s="87">
        <v>44805</v>
      </c>
      <c r="C1012">
        <v>17542.8</v>
      </c>
    </row>
    <row r="1013" spans="2:3" x14ac:dyDescent="0.3">
      <c r="B1013" s="87">
        <v>44803</v>
      </c>
      <c r="C1013">
        <v>17759.3</v>
      </c>
    </row>
    <row r="1014" spans="2:3" x14ac:dyDescent="0.3">
      <c r="B1014" s="87">
        <v>44802</v>
      </c>
      <c r="C1014">
        <v>17312.900000000001</v>
      </c>
    </row>
    <row r="1015" spans="2:3" x14ac:dyDescent="0.3">
      <c r="B1015" s="87">
        <v>44799</v>
      </c>
      <c r="C1015">
        <v>17558.900000000001</v>
      </c>
    </row>
    <row r="1016" spans="2:3" x14ac:dyDescent="0.3">
      <c r="B1016" s="87">
        <v>44798</v>
      </c>
      <c r="C1016">
        <v>17522.45</v>
      </c>
    </row>
    <row r="1017" spans="2:3" x14ac:dyDescent="0.3">
      <c r="B1017" s="87">
        <v>44797</v>
      </c>
      <c r="C1017">
        <v>17604.95</v>
      </c>
    </row>
    <row r="1018" spans="2:3" x14ac:dyDescent="0.3">
      <c r="B1018" s="87">
        <v>44796</v>
      </c>
      <c r="C1018">
        <v>17577.5</v>
      </c>
    </row>
    <row r="1019" spans="2:3" x14ac:dyDescent="0.3">
      <c r="B1019" s="87">
        <v>44795</v>
      </c>
      <c r="C1019">
        <v>17490.7</v>
      </c>
    </row>
    <row r="1020" spans="2:3" x14ac:dyDescent="0.3">
      <c r="B1020" s="87">
        <v>44792</v>
      </c>
      <c r="C1020">
        <v>17758.45</v>
      </c>
    </row>
    <row r="1021" spans="2:3" x14ac:dyDescent="0.3">
      <c r="B1021" s="87">
        <v>44791</v>
      </c>
      <c r="C1021">
        <v>17956.5</v>
      </c>
    </row>
    <row r="1022" spans="2:3" x14ac:dyDescent="0.3">
      <c r="B1022" s="87">
        <v>44790</v>
      </c>
      <c r="C1022">
        <v>17944.25</v>
      </c>
    </row>
    <row r="1023" spans="2:3" x14ac:dyDescent="0.3">
      <c r="B1023" s="87">
        <v>44789</v>
      </c>
      <c r="C1023">
        <v>17825.25</v>
      </c>
    </row>
    <row r="1024" spans="2:3" x14ac:dyDescent="0.3">
      <c r="B1024" s="87">
        <v>44785</v>
      </c>
      <c r="C1024">
        <v>17698.150000000001</v>
      </c>
    </row>
    <row r="1025" spans="2:3" x14ac:dyDescent="0.3">
      <c r="B1025" s="87">
        <v>44784</v>
      </c>
      <c r="C1025">
        <v>17659</v>
      </c>
    </row>
    <row r="1026" spans="2:3" x14ac:dyDescent="0.3">
      <c r="B1026" s="87">
        <v>44783</v>
      </c>
      <c r="C1026">
        <v>17534.75</v>
      </c>
    </row>
    <row r="1027" spans="2:3" x14ac:dyDescent="0.3">
      <c r="B1027" s="87">
        <v>44781</v>
      </c>
      <c r="C1027">
        <v>17525.099999999999</v>
      </c>
    </row>
    <row r="1028" spans="2:3" x14ac:dyDescent="0.3">
      <c r="B1028" s="87">
        <v>44778</v>
      </c>
      <c r="C1028">
        <v>17397.5</v>
      </c>
    </row>
    <row r="1029" spans="2:3" x14ac:dyDescent="0.3">
      <c r="B1029" s="87">
        <v>44777</v>
      </c>
      <c r="C1029">
        <v>17382</v>
      </c>
    </row>
    <row r="1030" spans="2:3" x14ac:dyDescent="0.3">
      <c r="B1030" s="87">
        <v>44776</v>
      </c>
      <c r="C1030">
        <v>17388.150000000001</v>
      </c>
    </row>
    <row r="1031" spans="2:3" x14ac:dyDescent="0.3">
      <c r="B1031" s="87">
        <v>44775</v>
      </c>
      <c r="C1031">
        <v>17345.45</v>
      </c>
    </row>
    <row r="1032" spans="2:3" x14ac:dyDescent="0.3">
      <c r="B1032" s="87">
        <v>44774</v>
      </c>
      <c r="C1032">
        <v>17340.05</v>
      </c>
    </row>
    <row r="1033" spans="2:3" x14ac:dyDescent="0.3">
      <c r="B1033" s="87">
        <v>44771</v>
      </c>
      <c r="C1033">
        <v>17158.25</v>
      </c>
    </row>
    <row r="1034" spans="2:3" x14ac:dyDescent="0.3">
      <c r="B1034" s="87">
        <v>44770</v>
      </c>
      <c r="C1034">
        <v>16929.599999999999</v>
      </c>
    </row>
    <row r="1035" spans="2:3" x14ac:dyDescent="0.3">
      <c r="B1035" s="87">
        <v>44769</v>
      </c>
      <c r="C1035">
        <v>16641.8</v>
      </c>
    </row>
    <row r="1036" spans="2:3" x14ac:dyDescent="0.3">
      <c r="B1036" s="87">
        <v>44768</v>
      </c>
      <c r="C1036">
        <v>16483.849999999999</v>
      </c>
    </row>
    <row r="1037" spans="2:3" x14ac:dyDescent="0.3">
      <c r="B1037" s="87">
        <v>44767</v>
      </c>
      <c r="C1037">
        <v>16631</v>
      </c>
    </row>
    <row r="1038" spans="2:3" x14ac:dyDescent="0.3">
      <c r="B1038" s="87">
        <v>44764</v>
      </c>
      <c r="C1038">
        <v>16719.45</v>
      </c>
    </row>
    <row r="1039" spans="2:3" x14ac:dyDescent="0.3">
      <c r="B1039" s="87">
        <v>44763</v>
      </c>
      <c r="C1039">
        <v>16605.25</v>
      </c>
    </row>
    <row r="1040" spans="2:3" x14ac:dyDescent="0.3">
      <c r="B1040" s="87">
        <v>44762</v>
      </c>
      <c r="C1040">
        <v>16520.849999999999</v>
      </c>
    </row>
    <row r="1041" spans="2:3" x14ac:dyDescent="0.3">
      <c r="B1041" s="87">
        <v>44761</v>
      </c>
      <c r="C1041">
        <v>16340.55</v>
      </c>
    </row>
    <row r="1042" spans="2:3" x14ac:dyDescent="0.3">
      <c r="B1042" s="87">
        <v>44760</v>
      </c>
      <c r="C1042">
        <v>16278.5</v>
      </c>
    </row>
    <row r="1043" spans="2:3" x14ac:dyDescent="0.3">
      <c r="B1043" s="87">
        <v>44757</v>
      </c>
      <c r="C1043">
        <v>16049.2</v>
      </c>
    </row>
    <row r="1044" spans="2:3" x14ac:dyDescent="0.3">
      <c r="B1044" s="87">
        <v>44756</v>
      </c>
      <c r="C1044">
        <v>15938.65</v>
      </c>
    </row>
    <row r="1045" spans="2:3" x14ac:dyDescent="0.3">
      <c r="B1045" s="87">
        <v>44755</v>
      </c>
      <c r="C1045">
        <v>15966.65</v>
      </c>
    </row>
    <row r="1046" spans="2:3" x14ac:dyDescent="0.3">
      <c r="B1046" s="87">
        <v>44754</v>
      </c>
      <c r="C1046">
        <v>16058.3</v>
      </c>
    </row>
    <row r="1047" spans="2:3" x14ac:dyDescent="0.3">
      <c r="B1047" s="87">
        <v>44753</v>
      </c>
      <c r="C1047">
        <v>16216</v>
      </c>
    </row>
    <row r="1048" spans="2:3" x14ac:dyDescent="0.3">
      <c r="B1048" s="87">
        <v>44750</v>
      </c>
      <c r="C1048">
        <v>16220.6</v>
      </c>
    </row>
    <row r="1049" spans="2:3" x14ac:dyDescent="0.3">
      <c r="B1049" s="87">
        <v>44749</v>
      </c>
      <c r="C1049">
        <v>16132.9</v>
      </c>
    </row>
    <row r="1050" spans="2:3" x14ac:dyDescent="0.3">
      <c r="B1050" s="87">
        <v>44748</v>
      </c>
      <c r="C1050">
        <v>15989.8</v>
      </c>
    </row>
    <row r="1051" spans="2:3" x14ac:dyDescent="0.3">
      <c r="B1051" s="87">
        <v>44747</v>
      </c>
      <c r="C1051">
        <v>15810.85</v>
      </c>
    </row>
    <row r="1052" spans="2:3" x14ac:dyDescent="0.3">
      <c r="B1052" s="87">
        <v>44746</v>
      </c>
      <c r="C1052">
        <v>15835.35</v>
      </c>
    </row>
    <row r="1053" spans="2:3" x14ac:dyDescent="0.3">
      <c r="B1053" s="87">
        <v>44743</v>
      </c>
      <c r="C1053">
        <v>15752.05</v>
      </c>
    </row>
    <row r="1054" spans="2:3" x14ac:dyDescent="0.3">
      <c r="B1054" s="87">
        <v>44742</v>
      </c>
      <c r="C1054">
        <v>15780.25</v>
      </c>
    </row>
    <row r="1055" spans="2:3" x14ac:dyDescent="0.3">
      <c r="B1055" s="87">
        <v>44741</v>
      </c>
      <c r="C1055">
        <v>15799.1</v>
      </c>
    </row>
    <row r="1056" spans="2:3" x14ac:dyDescent="0.3">
      <c r="B1056" s="87">
        <v>44740</v>
      </c>
      <c r="C1056">
        <v>15850.2</v>
      </c>
    </row>
    <row r="1057" spans="2:3" x14ac:dyDescent="0.3">
      <c r="B1057" s="87">
        <v>44739</v>
      </c>
      <c r="C1057">
        <v>15832.05</v>
      </c>
    </row>
    <row r="1058" spans="2:3" x14ac:dyDescent="0.3">
      <c r="B1058" s="87">
        <v>44736</v>
      </c>
      <c r="C1058">
        <v>15699.25</v>
      </c>
    </row>
    <row r="1059" spans="2:3" x14ac:dyDescent="0.3">
      <c r="B1059" s="87">
        <v>44735</v>
      </c>
      <c r="C1059">
        <v>15556.65</v>
      </c>
    </row>
    <row r="1060" spans="2:3" x14ac:dyDescent="0.3">
      <c r="B1060" s="87">
        <v>44734</v>
      </c>
      <c r="C1060">
        <v>15413.3</v>
      </c>
    </row>
    <row r="1061" spans="2:3" x14ac:dyDescent="0.3">
      <c r="B1061" s="87">
        <v>44733</v>
      </c>
      <c r="C1061">
        <v>15638.8</v>
      </c>
    </row>
    <row r="1062" spans="2:3" x14ac:dyDescent="0.3">
      <c r="B1062" s="87">
        <v>44732</v>
      </c>
      <c r="C1062">
        <v>15350.15</v>
      </c>
    </row>
    <row r="1063" spans="2:3" x14ac:dyDescent="0.3">
      <c r="B1063" s="87">
        <v>44729</v>
      </c>
      <c r="C1063">
        <v>15293.5</v>
      </c>
    </row>
    <row r="1064" spans="2:3" x14ac:dyDescent="0.3">
      <c r="B1064" s="87">
        <v>44728</v>
      </c>
      <c r="C1064">
        <v>15360.6</v>
      </c>
    </row>
    <row r="1065" spans="2:3" x14ac:dyDescent="0.3">
      <c r="B1065" s="87">
        <v>44727</v>
      </c>
      <c r="C1065">
        <v>15692.15</v>
      </c>
    </row>
    <row r="1066" spans="2:3" x14ac:dyDescent="0.3">
      <c r="B1066" s="87">
        <v>44726</v>
      </c>
      <c r="C1066">
        <v>15732.1</v>
      </c>
    </row>
    <row r="1067" spans="2:3" x14ac:dyDescent="0.3">
      <c r="B1067" s="87">
        <v>44725</v>
      </c>
      <c r="C1067">
        <v>15774.4</v>
      </c>
    </row>
    <row r="1068" spans="2:3" x14ac:dyDescent="0.3">
      <c r="B1068" s="87">
        <v>44722</v>
      </c>
      <c r="C1068">
        <v>16201.8</v>
      </c>
    </row>
    <row r="1069" spans="2:3" x14ac:dyDescent="0.3">
      <c r="B1069" s="87">
        <v>44721</v>
      </c>
      <c r="C1069">
        <v>16478.099999999999</v>
      </c>
    </row>
    <row r="1070" spans="2:3" x14ac:dyDescent="0.3">
      <c r="B1070" s="87">
        <v>44720</v>
      </c>
      <c r="C1070">
        <v>16356.25</v>
      </c>
    </row>
    <row r="1071" spans="2:3" x14ac:dyDescent="0.3">
      <c r="B1071" s="87">
        <v>44719</v>
      </c>
      <c r="C1071">
        <v>16416.349999999999</v>
      </c>
    </row>
    <row r="1072" spans="2:3" x14ac:dyDescent="0.3">
      <c r="B1072" s="87">
        <v>44718</v>
      </c>
      <c r="C1072">
        <v>16569.55</v>
      </c>
    </row>
    <row r="1073" spans="2:3" x14ac:dyDescent="0.3">
      <c r="B1073" s="87">
        <v>44715</v>
      </c>
      <c r="C1073">
        <v>16584.3</v>
      </c>
    </row>
    <row r="1074" spans="2:3" x14ac:dyDescent="0.3">
      <c r="B1074" s="87">
        <v>44714</v>
      </c>
      <c r="C1074">
        <v>16628</v>
      </c>
    </row>
    <row r="1075" spans="2:3" x14ac:dyDescent="0.3">
      <c r="B1075" s="87">
        <v>44713</v>
      </c>
      <c r="C1075">
        <v>16522.75</v>
      </c>
    </row>
    <row r="1076" spans="2:3" x14ac:dyDescent="0.3">
      <c r="B1076" s="87">
        <v>44712</v>
      </c>
      <c r="C1076">
        <v>16584.55</v>
      </c>
    </row>
    <row r="1077" spans="2:3" x14ac:dyDescent="0.3">
      <c r="B1077" s="87">
        <v>44711</v>
      </c>
      <c r="C1077">
        <v>16661.400000000001</v>
      </c>
    </row>
    <row r="1078" spans="2:3" x14ac:dyDescent="0.3">
      <c r="B1078" s="87">
        <v>44708</v>
      </c>
      <c r="C1078">
        <v>16352.45</v>
      </c>
    </row>
    <row r="1079" spans="2:3" x14ac:dyDescent="0.3">
      <c r="B1079" s="87">
        <v>44707</v>
      </c>
      <c r="C1079">
        <v>16170.15</v>
      </c>
    </row>
    <row r="1080" spans="2:3" x14ac:dyDescent="0.3">
      <c r="B1080" s="87">
        <v>44706</v>
      </c>
      <c r="C1080">
        <v>16025.8</v>
      </c>
    </row>
    <row r="1081" spans="2:3" x14ac:dyDescent="0.3">
      <c r="B1081" s="87">
        <v>44705</v>
      </c>
      <c r="C1081">
        <v>16125.15</v>
      </c>
    </row>
    <row r="1082" spans="2:3" x14ac:dyDescent="0.3">
      <c r="B1082" s="87">
        <v>44704</v>
      </c>
      <c r="C1082">
        <v>16214.7</v>
      </c>
    </row>
    <row r="1083" spans="2:3" x14ac:dyDescent="0.3">
      <c r="B1083" s="87">
        <v>44701</v>
      </c>
      <c r="C1083">
        <v>16266.15</v>
      </c>
    </row>
    <row r="1084" spans="2:3" x14ac:dyDescent="0.3">
      <c r="B1084" s="87">
        <v>44700</v>
      </c>
      <c r="C1084">
        <v>15809.4</v>
      </c>
    </row>
    <row r="1085" spans="2:3" x14ac:dyDescent="0.3">
      <c r="B1085" s="87">
        <v>44699</v>
      </c>
      <c r="C1085">
        <v>16240.3</v>
      </c>
    </row>
    <row r="1086" spans="2:3" x14ac:dyDescent="0.3">
      <c r="B1086" s="87">
        <v>44698</v>
      </c>
      <c r="C1086">
        <v>16259.3</v>
      </c>
    </row>
    <row r="1087" spans="2:3" x14ac:dyDescent="0.3">
      <c r="B1087" s="87">
        <v>44697</v>
      </c>
      <c r="C1087">
        <v>15842.3</v>
      </c>
    </row>
    <row r="1088" spans="2:3" x14ac:dyDescent="0.3">
      <c r="B1088" s="87">
        <v>44694</v>
      </c>
      <c r="C1088">
        <v>15782.15</v>
      </c>
    </row>
    <row r="1089" spans="2:3" x14ac:dyDescent="0.3">
      <c r="B1089" s="87">
        <v>44693</v>
      </c>
      <c r="C1089">
        <v>15808</v>
      </c>
    </row>
    <row r="1090" spans="2:3" x14ac:dyDescent="0.3">
      <c r="B1090" s="87">
        <v>44692</v>
      </c>
      <c r="C1090">
        <v>16167.1</v>
      </c>
    </row>
    <row r="1091" spans="2:3" x14ac:dyDescent="0.3">
      <c r="B1091" s="87">
        <v>44691</v>
      </c>
      <c r="C1091">
        <v>16240.05</v>
      </c>
    </row>
    <row r="1092" spans="2:3" x14ac:dyDescent="0.3">
      <c r="B1092" s="87">
        <v>44690</v>
      </c>
      <c r="C1092">
        <v>16301.85</v>
      </c>
    </row>
    <row r="1093" spans="2:3" x14ac:dyDescent="0.3">
      <c r="B1093" s="87">
        <v>44687</v>
      </c>
      <c r="C1093">
        <v>16411.25</v>
      </c>
    </row>
    <row r="1094" spans="2:3" x14ac:dyDescent="0.3">
      <c r="B1094" s="87">
        <v>44686</v>
      </c>
      <c r="C1094">
        <v>16682.650000000001</v>
      </c>
    </row>
    <row r="1095" spans="2:3" x14ac:dyDescent="0.3">
      <c r="B1095" s="87">
        <v>44685</v>
      </c>
      <c r="C1095">
        <v>16677.599999999999</v>
      </c>
    </row>
    <row r="1096" spans="2:3" x14ac:dyDescent="0.3">
      <c r="B1096" s="87">
        <v>44683</v>
      </c>
      <c r="C1096">
        <v>17069.099999999999</v>
      </c>
    </row>
    <row r="1097" spans="2:3" x14ac:dyDescent="0.3">
      <c r="B1097" s="87">
        <v>44680</v>
      </c>
      <c r="C1097">
        <v>17102.55</v>
      </c>
    </row>
    <row r="1098" spans="2:3" x14ac:dyDescent="0.3">
      <c r="B1098" s="87">
        <v>44679</v>
      </c>
      <c r="C1098">
        <v>17245.05</v>
      </c>
    </row>
    <row r="1099" spans="2:3" x14ac:dyDescent="0.3">
      <c r="B1099" s="87">
        <v>44678</v>
      </c>
      <c r="C1099">
        <v>17038.400000000001</v>
      </c>
    </row>
    <row r="1100" spans="2:3" x14ac:dyDescent="0.3">
      <c r="B1100" s="87">
        <v>44677</v>
      </c>
      <c r="C1100">
        <v>17200.8</v>
      </c>
    </row>
    <row r="1101" spans="2:3" x14ac:dyDescent="0.3">
      <c r="B1101" s="87">
        <v>44676</v>
      </c>
      <c r="C1101">
        <v>16953.95</v>
      </c>
    </row>
    <row r="1102" spans="2:3" x14ac:dyDescent="0.3">
      <c r="B1102" s="87">
        <v>44673</v>
      </c>
      <c r="C1102">
        <v>17171.95</v>
      </c>
    </row>
    <row r="1103" spans="2:3" x14ac:dyDescent="0.3">
      <c r="B1103" s="87">
        <v>44672</v>
      </c>
      <c r="C1103">
        <v>17392.599999999999</v>
      </c>
    </row>
    <row r="1104" spans="2:3" x14ac:dyDescent="0.3">
      <c r="B1104" s="87">
        <v>44671</v>
      </c>
      <c r="C1104">
        <v>17136.55</v>
      </c>
    </row>
    <row r="1105" spans="2:3" x14ac:dyDescent="0.3">
      <c r="B1105" s="87">
        <v>44670</v>
      </c>
      <c r="C1105">
        <v>16958.650000000001</v>
      </c>
    </row>
    <row r="1106" spans="2:3" x14ac:dyDescent="0.3">
      <c r="B1106" s="87">
        <v>44669</v>
      </c>
      <c r="C1106">
        <v>17173.650000000001</v>
      </c>
    </row>
    <row r="1107" spans="2:3" x14ac:dyDescent="0.3">
      <c r="B1107" s="87">
        <v>44664</v>
      </c>
      <c r="C1107">
        <v>17475.650000000001</v>
      </c>
    </row>
    <row r="1108" spans="2:3" x14ac:dyDescent="0.3">
      <c r="B1108" s="87">
        <v>44663</v>
      </c>
      <c r="C1108">
        <v>17530.3</v>
      </c>
    </row>
    <row r="1109" spans="2:3" x14ac:dyDescent="0.3">
      <c r="B1109" s="87">
        <v>44662</v>
      </c>
      <c r="C1109">
        <v>17674.95</v>
      </c>
    </row>
    <row r="1110" spans="2:3" x14ac:dyDescent="0.3">
      <c r="B1110" s="87">
        <v>44659</v>
      </c>
      <c r="C1110">
        <v>17784.349999999999</v>
      </c>
    </row>
    <row r="1111" spans="2:3" x14ac:dyDescent="0.3">
      <c r="B1111" s="87">
        <v>44658</v>
      </c>
      <c r="C1111">
        <v>17639.55</v>
      </c>
    </row>
    <row r="1112" spans="2:3" x14ac:dyDescent="0.3">
      <c r="B1112" s="87">
        <v>44657</v>
      </c>
      <c r="C1112">
        <v>17807.650000000001</v>
      </c>
    </row>
    <row r="1113" spans="2:3" x14ac:dyDescent="0.3">
      <c r="B1113" s="87">
        <v>44656</v>
      </c>
      <c r="C1113">
        <v>17957.400000000001</v>
      </c>
    </row>
    <row r="1114" spans="2:3" x14ac:dyDescent="0.3">
      <c r="B1114" s="87">
        <v>44655</v>
      </c>
      <c r="C1114">
        <v>18053.400000000001</v>
      </c>
    </row>
    <row r="1115" spans="2:3" x14ac:dyDescent="0.3">
      <c r="B1115" s="87">
        <v>44652</v>
      </c>
      <c r="C1115">
        <v>17670.45</v>
      </c>
    </row>
    <row r="1116" spans="2:3" x14ac:dyDescent="0.3">
      <c r="B1116" s="87">
        <v>44651</v>
      </c>
      <c r="C1116">
        <v>17464.75</v>
      </c>
    </row>
    <row r="1117" spans="2:3" x14ac:dyDescent="0.3">
      <c r="B1117" s="87">
        <v>44650</v>
      </c>
      <c r="C1117">
        <v>17498.25</v>
      </c>
    </row>
    <row r="1118" spans="2:3" x14ac:dyDescent="0.3">
      <c r="B1118" s="87">
        <v>44649</v>
      </c>
      <c r="C1118">
        <v>17325.3</v>
      </c>
    </row>
    <row r="1119" spans="2:3" x14ac:dyDescent="0.3">
      <c r="B1119" s="87">
        <v>44648</v>
      </c>
      <c r="C1119">
        <v>17222</v>
      </c>
    </row>
    <row r="1120" spans="2:3" x14ac:dyDescent="0.3">
      <c r="B1120" s="87">
        <v>44645</v>
      </c>
      <c r="C1120">
        <v>17153</v>
      </c>
    </row>
    <row r="1121" spans="2:3" x14ac:dyDescent="0.3">
      <c r="B1121" s="87">
        <v>44644</v>
      </c>
      <c r="C1121">
        <v>17222.75</v>
      </c>
    </row>
    <row r="1122" spans="2:3" x14ac:dyDescent="0.3">
      <c r="B1122" s="87">
        <v>44643</v>
      </c>
      <c r="C1122">
        <v>17245.650000000001</v>
      </c>
    </row>
    <row r="1123" spans="2:3" x14ac:dyDescent="0.3">
      <c r="B1123" s="87">
        <v>44642</v>
      </c>
      <c r="C1123">
        <v>17315.5</v>
      </c>
    </row>
    <row r="1124" spans="2:3" x14ac:dyDescent="0.3">
      <c r="B1124" s="87">
        <v>44641</v>
      </c>
      <c r="C1124">
        <v>17117.599999999999</v>
      </c>
    </row>
    <row r="1125" spans="2:3" x14ac:dyDescent="0.3">
      <c r="B1125" s="87">
        <v>44637</v>
      </c>
      <c r="C1125">
        <v>17287.05</v>
      </c>
    </row>
    <row r="1126" spans="2:3" x14ac:dyDescent="0.3">
      <c r="B1126" s="87">
        <v>44636</v>
      </c>
      <c r="C1126">
        <v>16975.349999999999</v>
      </c>
    </row>
    <row r="1127" spans="2:3" x14ac:dyDescent="0.3">
      <c r="B1127" s="87">
        <v>44635</v>
      </c>
      <c r="C1127">
        <v>16663</v>
      </c>
    </row>
    <row r="1128" spans="2:3" x14ac:dyDescent="0.3">
      <c r="B1128" s="87">
        <v>44634</v>
      </c>
      <c r="C1128">
        <v>16871.3</v>
      </c>
    </row>
    <row r="1129" spans="2:3" x14ac:dyDescent="0.3">
      <c r="B1129" s="87">
        <v>44631</v>
      </c>
      <c r="C1129">
        <v>16630.45</v>
      </c>
    </row>
    <row r="1130" spans="2:3" x14ac:dyDescent="0.3">
      <c r="B1130" s="87">
        <v>44630</v>
      </c>
      <c r="C1130">
        <v>16594.900000000001</v>
      </c>
    </row>
    <row r="1131" spans="2:3" x14ac:dyDescent="0.3">
      <c r="B1131" s="87">
        <v>44629</v>
      </c>
      <c r="C1131">
        <v>16345.35</v>
      </c>
    </row>
    <row r="1132" spans="2:3" x14ac:dyDescent="0.3">
      <c r="B1132" s="87">
        <v>44628</v>
      </c>
      <c r="C1132">
        <v>16013.45</v>
      </c>
    </row>
    <row r="1133" spans="2:3" x14ac:dyDescent="0.3">
      <c r="B1133" s="87">
        <v>44627</v>
      </c>
      <c r="C1133">
        <v>15863.15</v>
      </c>
    </row>
    <row r="1134" spans="2:3" x14ac:dyDescent="0.3">
      <c r="B1134" s="87">
        <v>44624</v>
      </c>
      <c r="C1134">
        <v>16245.35</v>
      </c>
    </row>
    <row r="1135" spans="2:3" x14ac:dyDescent="0.3">
      <c r="B1135" s="87">
        <v>44623</v>
      </c>
      <c r="C1135">
        <v>16498.05</v>
      </c>
    </row>
    <row r="1136" spans="2:3" x14ac:dyDescent="0.3">
      <c r="B1136" s="87">
        <v>44622</v>
      </c>
      <c r="C1136">
        <v>16605.95</v>
      </c>
    </row>
    <row r="1137" spans="2:3" x14ac:dyDescent="0.3">
      <c r="B1137" s="87">
        <v>44620</v>
      </c>
      <c r="C1137">
        <v>16793.900000000001</v>
      </c>
    </row>
    <row r="1138" spans="2:3" x14ac:dyDescent="0.3">
      <c r="B1138" s="87">
        <v>44617</v>
      </c>
      <c r="C1138">
        <v>16658.400000000001</v>
      </c>
    </row>
    <row r="1139" spans="2:3" x14ac:dyDescent="0.3">
      <c r="B1139" s="87">
        <v>44616</v>
      </c>
      <c r="C1139">
        <v>16247.95</v>
      </c>
    </row>
    <row r="1140" spans="2:3" x14ac:dyDescent="0.3">
      <c r="B1140" s="87">
        <v>44615</v>
      </c>
      <c r="C1140">
        <v>17063.25</v>
      </c>
    </row>
    <row r="1141" spans="2:3" x14ac:dyDescent="0.3">
      <c r="B1141" s="87">
        <v>44614</v>
      </c>
      <c r="C1141">
        <v>17092.2</v>
      </c>
    </row>
    <row r="1142" spans="2:3" x14ac:dyDescent="0.3">
      <c r="B1142" s="87">
        <v>44613</v>
      </c>
      <c r="C1142">
        <v>17206.650000000001</v>
      </c>
    </row>
    <row r="1143" spans="2:3" x14ac:dyDescent="0.3">
      <c r="B1143" s="87">
        <v>44610</v>
      </c>
      <c r="C1143">
        <v>17276.3</v>
      </c>
    </row>
    <row r="1144" spans="2:3" x14ac:dyDescent="0.3">
      <c r="B1144" s="87">
        <v>44609</v>
      </c>
      <c r="C1144">
        <v>17304.599999999999</v>
      </c>
    </row>
    <row r="1145" spans="2:3" x14ac:dyDescent="0.3">
      <c r="B1145" s="87">
        <v>44608</v>
      </c>
      <c r="C1145">
        <v>17322.2</v>
      </c>
    </row>
    <row r="1146" spans="2:3" x14ac:dyDescent="0.3">
      <c r="B1146" s="87">
        <v>44607</v>
      </c>
      <c r="C1146">
        <v>17352.45</v>
      </c>
    </row>
    <row r="1147" spans="2:3" x14ac:dyDescent="0.3">
      <c r="B1147" s="87">
        <v>44606</v>
      </c>
      <c r="C1147">
        <v>16842.8</v>
      </c>
    </row>
    <row r="1148" spans="2:3" x14ac:dyDescent="0.3">
      <c r="B1148" s="87">
        <v>44603</v>
      </c>
      <c r="C1148">
        <v>17374.75</v>
      </c>
    </row>
    <row r="1149" spans="2:3" x14ac:dyDescent="0.3">
      <c r="B1149" s="87">
        <v>44602</v>
      </c>
      <c r="C1149">
        <v>17605.849999999999</v>
      </c>
    </row>
    <row r="1150" spans="2:3" x14ac:dyDescent="0.3">
      <c r="B1150" s="87">
        <v>44601</v>
      </c>
      <c r="C1150">
        <v>17463.8</v>
      </c>
    </row>
    <row r="1151" spans="2:3" x14ac:dyDescent="0.3">
      <c r="B1151" s="87">
        <v>44600</v>
      </c>
      <c r="C1151">
        <v>17266.75</v>
      </c>
    </row>
    <row r="1152" spans="2:3" x14ac:dyDescent="0.3">
      <c r="B1152" s="87">
        <v>44599</v>
      </c>
      <c r="C1152">
        <v>17213.599999999999</v>
      </c>
    </row>
    <row r="1153" spans="2:3" x14ac:dyDescent="0.3">
      <c r="B1153" s="87">
        <v>44596</v>
      </c>
      <c r="C1153">
        <v>17516.3</v>
      </c>
    </row>
    <row r="1154" spans="2:3" x14ac:dyDescent="0.3">
      <c r="B1154" s="87">
        <v>44595</v>
      </c>
      <c r="C1154">
        <v>17560.2</v>
      </c>
    </row>
    <row r="1155" spans="2:3" x14ac:dyDescent="0.3">
      <c r="B1155" s="87">
        <v>44594</v>
      </c>
      <c r="C1155">
        <v>17780</v>
      </c>
    </row>
    <row r="1156" spans="2:3" x14ac:dyDescent="0.3">
      <c r="B1156" s="87">
        <v>44593</v>
      </c>
      <c r="C1156">
        <v>17576.849999999999</v>
      </c>
    </row>
    <row r="1157" spans="2:3" x14ac:dyDescent="0.3">
      <c r="B1157" s="87">
        <v>44592</v>
      </c>
      <c r="C1157">
        <v>17339.849999999999</v>
      </c>
    </row>
    <row r="1158" spans="2:3" x14ac:dyDescent="0.3">
      <c r="B1158" s="87">
        <v>44589</v>
      </c>
      <c r="C1158">
        <v>17101.95</v>
      </c>
    </row>
    <row r="1159" spans="2:3" x14ac:dyDescent="0.3">
      <c r="B1159" s="87">
        <v>44588</v>
      </c>
      <c r="C1159">
        <v>17110.150000000001</v>
      </c>
    </row>
    <row r="1160" spans="2:3" x14ac:dyDescent="0.3">
      <c r="B1160" s="87">
        <v>44586</v>
      </c>
      <c r="C1160">
        <v>17277.95</v>
      </c>
    </row>
    <row r="1161" spans="2:3" x14ac:dyDescent="0.3">
      <c r="B1161" s="87">
        <v>44585</v>
      </c>
      <c r="C1161">
        <v>17149.099999999999</v>
      </c>
    </row>
    <row r="1162" spans="2:3" x14ac:dyDescent="0.3">
      <c r="B1162" s="87">
        <v>44582</v>
      </c>
      <c r="C1162">
        <v>17617.150000000001</v>
      </c>
    </row>
    <row r="1163" spans="2:3" x14ac:dyDescent="0.3">
      <c r="B1163" s="87">
        <v>44581</v>
      </c>
      <c r="C1163">
        <v>17757</v>
      </c>
    </row>
    <row r="1164" spans="2:3" x14ac:dyDescent="0.3">
      <c r="B1164" s="87">
        <v>44580</v>
      </c>
      <c r="C1164">
        <v>17938.400000000001</v>
      </c>
    </row>
    <row r="1165" spans="2:3" x14ac:dyDescent="0.3">
      <c r="B1165" s="87">
        <v>44579</v>
      </c>
      <c r="C1165">
        <v>18113.05</v>
      </c>
    </row>
    <row r="1166" spans="2:3" x14ac:dyDescent="0.3">
      <c r="B1166" s="87">
        <v>44578</v>
      </c>
      <c r="C1166">
        <v>18308.099999999999</v>
      </c>
    </row>
    <row r="1167" spans="2:3" x14ac:dyDescent="0.3">
      <c r="B1167" s="87">
        <v>44575</v>
      </c>
      <c r="C1167">
        <v>18255.75</v>
      </c>
    </row>
    <row r="1168" spans="2:3" x14ac:dyDescent="0.3">
      <c r="B1168" s="87">
        <v>44574</v>
      </c>
      <c r="C1168">
        <v>18257.8</v>
      </c>
    </row>
    <row r="1169" spans="2:3" x14ac:dyDescent="0.3">
      <c r="B1169" s="87">
        <v>44573</v>
      </c>
      <c r="C1169">
        <v>18212.349999999999</v>
      </c>
    </row>
    <row r="1170" spans="2:3" x14ac:dyDescent="0.3">
      <c r="B1170" s="87">
        <v>44572</v>
      </c>
      <c r="C1170">
        <v>18055.75</v>
      </c>
    </row>
    <row r="1171" spans="2:3" x14ac:dyDescent="0.3">
      <c r="B1171" s="87">
        <v>44571</v>
      </c>
      <c r="C1171">
        <v>18003.3</v>
      </c>
    </row>
    <row r="1172" spans="2:3" x14ac:dyDescent="0.3">
      <c r="B1172" s="87">
        <v>44568</v>
      </c>
      <c r="C1172">
        <v>17812.7</v>
      </c>
    </row>
    <row r="1173" spans="2:3" x14ac:dyDescent="0.3">
      <c r="B1173" s="87">
        <v>44567</v>
      </c>
      <c r="C1173">
        <v>17745.900000000001</v>
      </c>
    </row>
    <row r="1174" spans="2:3" x14ac:dyDescent="0.3">
      <c r="B1174" s="87">
        <v>44566</v>
      </c>
      <c r="C1174">
        <v>17925.25</v>
      </c>
    </row>
    <row r="1175" spans="2:3" x14ac:dyDescent="0.3">
      <c r="B1175" s="87">
        <v>44565</v>
      </c>
      <c r="C1175">
        <v>17805.25</v>
      </c>
    </row>
    <row r="1176" spans="2:3" x14ac:dyDescent="0.3">
      <c r="B1176" s="87">
        <v>44564</v>
      </c>
      <c r="C1176">
        <v>17625.7</v>
      </c>
    </row>
    <row r="1177" spans="2:3" x14ac:dyDescent="0.3">
      <c r="B1177" s="87">
        <v>44561</v>
      </c>
      <c r="C1177">
        <v>17354.05</v>
      </c>
    </row>
    <row r="1178" spans="2:3" x14ac:dyDescent="0.3">
      <c r="B1178" s="87">
        <v>44560</v>
      </c>
      <c r="C1178">
        <v>17203.95</v>
      </c>
    </row>
    <row r="1179" spans="2:3" x14ac:dyDescent="0.3">
      <c r="B1179" s="87">
        <v>44559</v>
      </c>
      <c r="C1179">
        <v>17213.599999999999</v>
      </c>
    </row>
    <row r="1180" spans="2:3" x14ac:dyDescent="0.3">
      <c r="B1180" s="87">
        <v>44558</v>
      </c>
      <c r="C1180">
        <v>17233.25</v>
      </c>
    </row>
    <row r="1181" spans="2:3" x14ac:dyDescent="0.3">
      <c r="B1181" s="87">
        <v>44557</v>
      </c>
      <c r="C1181">
        <v>17086.25</v>
      </c>
    </row>
    <row r="1182" spans="2:3" x14ac:dyDescent="0.3">
      <c r="B1182" s="87">
        <v>44554</v>
      </c>
      <c r="C1182">
        <v>17003.75</v>
      </c>
    </row>
    <row r="1183" spans="2:3" x14ac:dyDescent="0.3">
      <c r="B1183" s="87">
        <v>44553</v>
      </c>
      <c r="C1183">
        <v>17072.599999999999</v>
      </c>
    </row>
    <row r="1184" spans="2:3" x14ac:dyDescent="0.3">
      <c r="B1184" s="87">
        <v>44552</v>
      </c>
      <c r="C1184">
        <v>16955.45</v>
      </c>
    </row>
    <row r="1185" spans="2:3" x14ac:dyDescent="0.3">
      <c r="B1185" s="87">
        <v>44551</v>
      </c>
      <c r="C1185">
        <v>16770.849999999999</v>
      </c>
    </row>
    <row r="1186" spans="2:3" x14ac:dyDescent="0.3">
      <c r="B1186" s="87">
        <v>44550</v>
      </c>
      <c r="C1186">
        <v>16614.2</v>
      </c>
    </row>
    <row r="1187" spans="2:3" x14ac:dyDescent="0.3">
      <c r="B1187" s="87">
        <v>44547</v>
      </c>
      <c r="C1187">
        <v>16985.2</v>
      </c>
    </row>
    <row r="1188" spans="2:3" x14ac:dyDescent="0.3">
      <c r="B1188" s="87">
        <v>44546</v>
      </c>
      <c r="C1188">
        <v>17248.400000000001</v>
      </c>
    </row>
    <row r="1189" spans="2:3" x14ac:dyDescent="0.3">
      <c r="B1189" s="87">
        <v>44545</v>
      </c>
      <c r="C1189">
        <v>17221.400000000001</v>
      </c>
    </row>
    <row r="1190" spans="2:3" x14ac:dyDescent="0.3">
      <c r="B1190" s="87">
        <v>44544</v>
      </c>
      <c r="C1190">
        <v>17324.900000000001</v>
      </c>
    </row>
    <row r="1191" spans="2:3" x14ac:dyDescent="0.3">
      <c r="B1191" s="87">
        <v>44543</v>
      </c>
      <c r="C1191">
        <v>17368.25</v>
      </c>
    </row>
    <row r="1192" spans="2:3" x14ac:dyDescent="0.3">
      <c r="B1192" s="87">
        <v>44540</v>
      </c>
      <c r="C1192">
        <v>17511.3</v>
      </c>
    </row>
    <row r="1193" spans="2:3" x14ac:dyDescent="0.3">
      <c r="B1193" s="87">
        <v>44539</v>
      </c>
      <c r="C1193">
        <v>17516.849999999999</v>
      </c>
    </row>
    <row r="1194" spans="2:3" x14ac:dyDescent="0.3">
      <c r="B1194" s="87">
        <v>44538</v>
      </c>
      <c r="C1194">
        <v>17469.75</v>
      </c>
    </row>
    <row r="1195" spans="2:3" x14ac:dyDescent="0.3">
      <c r="B1195" s="87">
        <v>44537</v>
      </c>
      <c r="C1195">
        <v>17176.7</v>
      </c>
    </row>
    <row r="1196" spans="2:3" x14ac:dyDescent="0.3">
      <c r="B1196" s="87">
        <v>44536</v>
      </c>
      <c r="C1196">
        <v>16912.25</v>
      </c>
    </row>
    <row r="1197" spans="2:3" x14ac:dyDescent="0.3">
      <c r="B1197" s="87">
        <v>44533</v>
      </c>
      <c r="C1197">
        <v>17196.7</v>
      </c>
    </row>
    <row r="1198" spans="2:3" x14ac:dyDescent="0.3">
      <c r="B1198" s="87">
        <v>44532</v>
      </c>
      <c r="C1198">
        <v>17401.650000000001</v>
      </c>
    </row>
    <row r="1199" spans="2:3" x14ac:dyDescent="0.3">
      <c r="B1199" s="87">
        <v>44531</v>
      </c>
      <c r="C1199">
        <v>17166.900000000001</v>
      </c>
    </row>
    <row r="1200" spans="2:3" x14ac:dyDescent="0.3">
      <c r="B1200" s="87">
        <v>44530</v>
      </c>
      <c r="C1200">
        <v>16983.2</v>
      </c>
    </row>
    <row r="1201" spans="2:3" x14ac:dyDescent="0.3">
      <c r="B1201" s="87">
        <v>44529</v>
      </c>
      <c r="C1201">
        <v>17053.95</v>
      </c>
    </row>
    <row r="1202" spans="2:3" x14ac:dyDescent="0.3">
      <c r="B1202" s="87">
        <v>44526</v>
      </c>
      <c r="C1202">
        <v>17026.45</v>
      </c>
    </row>
    <row r="1203" spans="2:3" x14ac:dyDescent="0.3">
      <c r="B1203" s="87">
        <v>44525</v>
      </c>
      <c r="C1203">
        <v>17536.25</v>
      </c>
    </row>
    <row r="1204" spans="2:3" x14ac:dyDescent="0.3">
      <c r="B1204" s="87">
        <v>44524</v>
      </c>
      <c r="C1204">
        <v>17415.05</v>
      </c>
    </row>
    <row r="1205" spans="2:3" x14ac:dyDescent="0.3">
      <c r="B1205" s="87">
        <v>44523</v>
      </c>
      <c r="C1205">
        <v>17503.349999999999</v>
      </c>
    </row>
    <row r="1206" spans="2:3" x14ac:dyDescent="0.3">
      <c r="B1206" s="87">
        <v>44522</v>
      </c>
      <c r="C1206">
        <v>17416.55</v>
      </c>
    </row>
    <row r="1207" spans="2:3" x14ac:dyDescent="0.3">
      <c r="B1207" s="87">
        <v>44518</v>
      </c>
      <c r="C1207">
        <v>17764.8</v>
      </c>
    </row>
    <row r="1208" spans="2:3" x14ac:dyDescent="0.3">
      <c r="B1208" s="87">
        <v>44517</v>
      </c>
      <c r="C1208">
        <v>17898.650000000001</v>
      </c>
    </row>
    <row r="1209" spans="2:3" x14ac:dyDescent="0.3">
      <c r="B1209" s="87">
        <v>44516</v>
      </c>
      <c r="C1209">
        <v>17999.2</v>
      </c>
    </row>
    <row r="1210" spans="2:3" x14ac:dyDescent="0.3">
      <c r="B1210" s="87">
        <v>44515</v>
      </c>
      <c r="C1210">
        <v>18109.45</v>
      </c>
    </row>
    <row r="1211" spans="2:3" x14ac:dyDescent="0.3">
      <c r="B1211" s="87">
        <v>44512</v>
      </c>
      <c r="C1211">
        <v>18102.75</v>
      </c>
    </row>
    <row r="1212" spans="2:3" x14ac:dyDescent="0.3">
      <c r="B1212" s="87">
        <v>44511</v>
      </c>
      <c r="C1212">
        <v>17873.599999999999</v>
      </c>
    </row>
    <row r="1213" spans="2:3" x14ac:dyDescent="0.3">
      <c r="B1213" s="87">
        <v>44510</v>
      </c>
      <c r="C1213">
        <v>18017.2</v>
      </c>
    </row>
    <row r="1214" spans="2:3" x14ac:dyDescent="0.3">
      <c r="B1214" s="87">
        <v>44509</v>
      </c>
      <c r="C1214">
        <v>18044.25</v>
      </c>
    </row>
    <row r="1215" spans="2:3" x14ac:dyDescent="0.3">
      <c r="B1215" s="87">
        <v>44508</v>
      </c>
      <c r="C1215">
        <v>18068.55</v>
      </c>
    </row>
    <row r="1216" spans="2:3" x14ac:dyDescent="0.3">
      <c r="B1216" s="87">
        <v>44504</v>
      </c>
      <c r="C1216">
        <v>17916.8</v>
      </c>
    </row>
    <row r="1217" spans="2:3" x14ac:dyDescent="0.3">
      <c r="B1217" s="87">
        <v>44503</v>
      </c>
      <c r="C1217">
        <v>17829.2</v>
      </c>
    </row>
    <row r="1218" spans="2:3" x14ac:dyDescent="0.3">
      <c r="B1218" s="87">
        <v>44502</v>
      </c>
      <c r="C1218">
        <v>17888.95</v>
      </c>
    </row>
    <row r="1219" spans="2:3" x14ac:dyDescent="0.3">
      <c r="B1219" s="87">
        <v>44501</v>
      </c>
      <c r="C1219">
        <v>17929.650000000001</v>
      </c>
    </row>
    <row r="1220" spans="2:3" x14ac:dyDescent="0.3">
      <c r="B1220" s="87">
        <v>44498</v>
      </c>
      <c r="C1220">
        <v>17671.650000000001</v>
      </c>
    </row>
    <row r="1221" spans="2:3" x14ac:dyDescent="0.3">
      <c r="B1221" s="87">
        <v>44497</v>
      </c>
      <c r="C1221">
        <v>17857.25</v>
      </c>
    </row>
    <row r="1222" spans="2:3" x14ac:dyDescent="0.3">
      <c r="B1222" s="87">
        <v>44496</v>
      </c>
      <c r="C1222">
        <v>18210.95</v>
      </c>
    </row>
    <row r="1223" spans="2:3" x14ac:dyDescent="0.3">
      <c r="B1223" s="87">
        <v>44495</v>
      </c>
      <c r="C1223">
        <v>18268.400000000001</v>
      </c>
    </row>
    <row r="1224" spans="2:3" x14ac:dyDescent="0.3">
      <c r="B1224" s="87">
        <v>44494</v>
      </c>
      <c r="C1224">
        <v>18125.400000000001</v>
      </c>
    </row>
    <row r="1225" spans="2:3" x14ac:dyDescent="0.3">
      <c r="B1225" s="87">
        <v>44491</v>
      </c>
      <c r="C1225">
        <v>18114.900000000001</v>
      </c>
    </row>
    <row r="1226" spans="2:3" x14ac:dyDescent="0.3">
      <c r="B1226" s="87">
        <v>44490</v>
      </c>
      <c r="C1226">
        <v>18178.099999999999</v>
      </c>
    </row>
    <row r="1227" spans="2:3" x14ac:dyDescent="0.3">
      <c r="B1227" s="87">
        <v>44489</v>
      </c>
      <c r="C1227">
        <v>18266.599999999999</v>
      </c>
    </row>
    <row r="1228" spans="2:3" x14ac:dyDescent="0.3">
      <c r="B1228" s="87">
        <v>44488</v>
      </c>
      <c r="C1228">
        <v>18418.75</v>
      </c>
    </row>
    <row r="1229" spans="2:3" x14ac:dyDescent="0.3">
      <c r="B1229" s="87">
        <v>44487</v>
      </c>
      <c r="C1229">
        <v>18477.05</v>
      </c>
    </row>
    <row r="1230" spans="2:3" x14ac:dyDescent="0.3">
      <c r="B1230" s="87">
        <v>44483</v>
      </c>
      <c r="C1230">
        <v>18338.55</v>
      </c>
    </row>
    <row r="1231" spans="2:3" x14ac:dyDescent="0.3">
      <c r="B1231" s="87">
        <v>44482</v>
      </c>
      <c r="C1231">
        <v>18161.75</v>
      </c>
    </row>
    <row r="1232" spans="2:3" x14ac:dyDescent="0.3">
      <c r="B1232" s="87">
        <v>44481</v>
      </c>
      <c r="C1232">
        <v>17991.95</v>
      </c>
    </row>
    <row r="1233" spans="2:3" x14ac:dyDescent="0.3">
      <c r="B1233" s="87">
        <v>44480</v>
      </c>
      <c r="C1233">
        <v>17945.95</v>
      </c>
    </row>
    <row r="1234" spans="2:3" x14ac:dyDescent="0.3">
      <c r="B1234" s="87">
        <v>44477</v>
      </c>
      <c r="C1234">
        <v>17895.2</v>
      </c>
    </row>
    <row r="1235" spans="2:3" x14ac:dyDescent="0.3">
      <c r="B1235" s="87">
        <v>44476</v>
      </c>
      <c r="C1235">
        <v>17790.349999999999</v>
      </c>
    </row>
    <row r="1236" spans="2:3" x14ac:dyDescent="0.3">
      <c r="B1236" s="87">
        <v>44475</v>
      </c>
      <c r="C1236">
        <v>17646</v>
      </c>
    </row>
    <row r="1237" spans="2:3" x14ac:dyDescent="0.3">
      <c r="B1237" s="87">
        <v>44474</v>
      </c>
      <c r="C1237">
        <v>17822.3</v>
      </c>
    </row>
    <row r="1238" spans="2:3" x14ac:dyDescent="0.3">
      <c r="B1238" s="87">
        <v>44473</v>
      </c>
      <c r="C1238">
        <v>17691.25</v>
      </c>
    </row>
    <row r="1239" spans="2:3" x14ac:dyDescent="0.3">
      <c r="B1239" s="87">
        <v>44470</v>
      </c>
      <c r="C1239">
        <v>17532.05</v>
      </c>
    </row>
    <row r="1240" spans="2:3" x14ac:dyDescent="0.3">
      <c r="B1240" s="87">
        <v>44469</v>
      </c>
      <c r="C1240">
        <v>17618.150000000001</v>
      </c>
    </row>
    <row r="1241" spans="2:3" x14ac:dyDescent="0.3">
      <c r="B1241" s="87">
        <v>44468</v>
      </c>
      <c r="C1241">
        <v>17711.3</v>
      </c>
    </row>
    <row r="1242" spans="2:3" x14ac:dyDescent="0.3">
      <c r="B1242" s="87">
        <v>44467</v>
      </c>
      <c r="C1242">
        <v>17748.599999999999</v>
      </c>
    </row>
    <row r="1243" spans="2:3" x14ac:dyDescent="0.3">
      <c r="B1243" s="87">
        <v>44466</v>
      </c>
      <c r="C1243">
        <v>17855.099999999999</v>
      </c>
    </row>
    <row r="1244" spans="2:3" x14ac:dyDescent="0.3">
      <c r="B1244" s="87">
        <v>44463</v>
      </c>
      <c r="C1244">
        <v>17853.2</v>
      </c>
    </row>
    <row r="1245" spans="2:3" x14ac:dyDescent="0.3">
      <c r="B1245" s="87">
        <v>44462</v>
      </c>
      <c r="C1245">
        <v>17822.95</v>
      </c>
    </row>
    <row r="1246" spans="2:3" x14ac:dyDescent="0.3">
      <c r="B1246" s="87">
        <v>44461</v>
      </c>
      <c r="C1246">
        <v>17546.650000000001</v>
      </c>
    </row>
    <row r="1247" spans="2:3" x14ac:dyDescent="0.3">
      <c r="B1247" s="87">
        <v>44460</v>
      </c>
      <c r="C1247">
        <v>17562</v>
      </c>
    </row>
    <row r="1248" spans="2:3" x14ac:dyDescent="0.3">
      <c r="B1248" s="87">
        <v>44459</v>
      </c>
      <c r="C1248">
        <v>17396.900000000001</v>
      </c>
    </row>
    <row r="1249" spans="2:3" x14ac:dyDescent="0.3">
      <c r="B1249" s="87">
        <v>44456</v>
      </c>
      <c r="C1249">
        <v>17585.150000000001</v>
      </c>
    </row>
    <row r="1250" spans="2:3" x14ac:dyDescent="0.3">
      <c r="B1250" s="87">
        <v>44455</v>
      </c>
      <c r="C1250">
        <v>17629.5</v>
      </c>
    </row>
    <row r="1251" spans="2:3" x14ac:dyDescent="0.3">
      <c r="B1251" s="87">
        <v>44454</v>
      </c>
      <c r="C1251">
        <v>17519.45</v>
      </c>
    </row>
    <row r="1252" spans="2:3" x14ac:dyDescent="0.3">
      <c r="B1252" s="87">
        <v>44453</v>
      </c>
      <c r="C1252">
        <v>17380</v>
      </c>
    </row>
    <row r="1253" spans="2:3" x14ac:dyDescent="0.3">
      <c r="B1253" s="87">
        <v>44452</v>
      </c>
      <c r="C1253">
        <v>17355.3</v>
      </c>
    </row>
    <row r="1254" spans="2:3" x14ac:dyDescent="0.3">
      <c r="B1254" s="87">
        <v>44448</v>
      </c>
      <c r="C1254">
        <v>17369.25</v>
      </c>
    </row>
    <row r="1255" spans="2:3" x14ac:dyDescent="0.3">
      <c r="B1255" s="87">
        <v>44447</v>
      </c>
      <c r="C1255">
        <v>17353.5</v>
      </c>
    </row>
    <row r="1256" spans="2:3" x14ac:dyDescent="0.3">
      <c r="B1256" s="87">
        <v>44446</v>
      </c>
      <c r="C1256">
        <v>17362.099999999999</v>
      </c>
    </row>
    <row r="1257" spans="2:3" x14ac:dyDescent="0.3">
      <c r="B1257" s="87">
        <v>44445</v>
      </c>
      <c r="C1257">
        <v>17377.8</v>
      </c>
    </row>
    <row r="1258" spans="2:3" x14ac:dyDescent="0.3">
      <c r="B1258" s="87">
        <v>44442</v>
      </c>
      <c r="C1258">
        <v>17323.599999999999</v>
      </c>
    </row>
    <row r="1259" spans="2:3" x14ac:dyDescent="0.3">
      <c r="B1259" s="87">
        <v>44441</v>
      </c>
      <c r="C1259">
        <v>17234.150000000001</v>
      </c>
    </row>
    <row r="1260" spans="2:3" x14ac:dyDescent="0.3">
      <c r="B1260" s="87">
        <v>44440</v>
      </c>
      <c r="C1260">
        <v>17076.25</v>
      </c>
    </row>
    <row r="1261" spans="2:3" x14ac:dyDescent="0.3">
      <c r="B1261" s="87">
        <v>44439</v>
      </c>
      <c r="C1261">
        <v>17132.2</v>
      </c>
    </row>
    <row r="1262" spans="2:3" x14ac:dyDescent="0.3">
      <c r="B1262" s="87">
        <v>44438</v>
      </c>
      <c r="C1262">
        <v>16931.05</v>
      </c>
    </row>
    <row r="1263" spans="2:3" x14ac:dyDescent="0.3">
      <c r="B1263" s="87">
        <v>44435</v>
      </c>
      <c r="C1263">
        <v>16705.2</v>
      </c>
    </row>
    <row r="1264" spans="2:3" x14ac:dyDescent="0.3">
      <c r="B1264" s="87">
        <v>44434</v>
      </c>
      <c r="C1264">
        <v>16636.900000000001</v>
      </c>
    </row>
    <row r="1265" spans="2:3" x14ac:dyDescent="0.3">
      <c r="B1265" s="87">
        <v>44433</v>
      </c>
      <c r="C1265">
        <v>16634.650000000001</v>
      </c>
    </row>
    <row r="1266" spans="2:3" x14ac:dyDescent="0.3">
      <c r="B1266" s="87">
        <v>44432</v>
      </c>
      <c r="C1266">
        <v>16624.599999999999</v>
      </c>
    </row>
    <row r="1267" spans="2:3" x14ac:dyDescent="0.3">
      <c r="B1267" s="87">
        <v>44431</v>
      </c>
      <c r="C1267">
        <v>16496.45</v>
      </c>
    </row>
    <row r="1268" spans="2:3" x14ac:dyDescent="0.3">
      <c r="B1268" s="87">
        <v>44428</v>
      </c>
      <c r="C1268">
        <v>16450.5</v>
      </c>
    </row>
    <row r="1269" spans="2:3" x14ac:dyDescent="0.3">
      <c r="B1269" s="87">
        <v>44426</v>
      </c>
      <c r="C1269">
        <v>16568.849999999999</v>
      </c>
    </row>
    <row r="1270" spans="2:3" x14ac:dyDescent="0.3">
      <c r="B1270" s="87">
        <v>44425</v>
      </c>
      <c r="C1270">
        <v>16614.599999999999</v>
      </c>
    </row>
    <row r="1271" spans="2:3" x14ac:dyDescent="0.3">
      <c r="B1271" s="87">
        <v>44424</v>
      </c>
      <c r="C1271">
        <v>16563.05</v>
      </c>
    </row>
    <row r="1272" spans="2:3" x14ac:dyDescent="0.3">
      <c r="B1272" s="87">
        <v>44421</v>
      </c>
      <c r="C1272">
        <v>16529.099999999999</v>
      </c>
    </row>
    <row r="1273" spans="2:3" x14ac:dyDescent="0.3">
      <c r="B1273" s="87">
        <v>44420</v>
      </c>
      <c r="C1273">
        <v>16364.4</v>
      </c>
    </row>
    <row r="1274" spans="2:3" x14ac:dyDescent="0.3">
      <c r="B1274" s="87">
        <v>44419</v>
      </c>
      <c r="C1274">
        <v>16282.25</v>
      </c>
    </row>
    <row r="1275" spans="2:3" x14ac:dyDescent="0.3">
      <c r="B1275" s="87">
        <v>44418</v>
      </c>
      <c r="C1275">
        <v>16280.1</v>
      </c>
    </row>
    <row r="1276" spans="2:3" x14ac:dyDescent="0.3">
      <c r="B1276" s="87">
        <v>44417</v>
      </c>
      <c r="C1276">
        <v>16258.25</v>
      </c>
    </row>
    <row r="1277" spans="2:3" x14ac:dyDescent="0.3">
      <c r="B1277" s="87">
        <v>44414</v>
      </c>
      <c r="C1277">
        <v>16238.2</v>
      </c>
    </row>
    <row r="1278" spans="2:3" x14ac:dyDescent="0.3">
      <c r="B1278" s="87">
        <v>44413</v>
      </c>
      <c r="C1278">
        <v>16294.6</v>
      </c>
    </row>
    <row r="1279" spans="2:3" x14ac:dyDescent="0.3">
      <c r="B1279" s="87">
        <v>44412</v>
      </c>
      <c r="C1279">
        <v>16258.8</v>
      </c>
    </row>
    <row r="1280" spans="2:3" x14ac:dyDescent="0.3">
      <c r="B1280" s="87">
        <v>44411</v>
      </c>
      <c r="C1280">
        <v>16130.75</v>
      </c>
    </row>
    <row r="1281" spans="2:3" x14ac:dyDescent="0.3">
      <c r="B1281" s="87">
        <v>44410</v>
      </c>
      <c r="C1281">
        <v>15885.15</v>
      </c>
    </row>
    <row r="1282" spans="2:3" x14ac:dyDescent="0.3">
      <c r="B1282" s="87">
        <v>44407</v>
      </c>
      <c r="C1282">
        <v>15763.05</v>
      </c>
    </row>
    <row r="1283" spans="2:3" x14ac:dyDescent="0.3">
      <c r="B1283" s="87">
        <v>44406</v>
      </c>
      <c r="C1283">
        <v>15778.45</v>
      </c>
    </row>
    <row r="1284" spans="2:3" x14ac:dyDescent="0.3">
      <c r="B1284" s="87">
        <v>44405</v>
      </c>
      <c r="C1284">
        <v>15709.4</v>
      </c>
    </row>
    <row r="1285" spans="2:3" x14ac:dyDescent="0.3">
      <c r="B1285" s="87">
        <v>44404</v>
      </c>
      <c r="C1285">
        <v>15746.45</v>
      </c>
    </row>
    <row r="1286" spans="2:3" x14ac:dyDescent="0.3">
      <c r="B1286" s="87">
        <v>44403</v>
      </c>
      <c r="C1286">
        <v>15824.45</v>
      </c>
    </row>
    <row r="1287" spans="2:3" x14ac:dyDescent="0.3">
      <c r="B1287" s="87">
        <v>44400</v>
      </c>
      <c r="C1287">
        <v>15856.05</v>
      </c>
    </row>
    <row r="1288" spans="2:3" x14ac:dyDescent="0.3">
      <c r="B1288" s="87">
        <v>44399</v>
      </c>
      <c r="C1288">
        <v>15824.05</v>
      </c>
    </row>
    <row r="1289" spans="2:3" x14ac:dyDescent="0.3">
      <c r="B1289" s="87">
        <v>44397</v>
      </c>
      <c r="C1289">
        <v>15632.1</v>
      </c>
    </row>
    <row r="1290" spans="2:3" x14ac:dyDescent="0.3">
      <c r="B1290" s="87">
        <v>44396</v>
      </c>
      <c r="C1290">
        <v>15752.4</v>
      </c>
    </row>
    <row r="1291" spans="2:3" x14ac:dyDescent="0.3">
      <c r="B1291" s="87">
        <v>44393</v>
      </c>
      <c r="C1291">
        <v>15923.4</v>
      </c>
    </row>
    <row r="1292" spans="2:3" x14ac:dyDescent="0.3">
      <c r="B1292" s="87">
        <v>44392</v>
      </c>
      <c r="C1292">
        <v>15924.2</v>
      </c>
    </row>
    <row r="1293" spans="2:3" x14ac:dyDescent="0.3">
      <c r="B1293" s="87">
        <v>44391</v>
      </c>
      <c r="C1293">
        <v>15853.95</v>
      </c>
    </row>
    <row r="1294" spans="2:3" x14ac:dyDescent="0.3">
      <c r="B1294" s="87">
        <v>44390</v>
      </c>
      <c r="C1294">
        <v>15812.35</v>
      </c>
    </row>
    <row r="1295" spans="2:3" x14ac:dyDescent="0.3">
      <c r="B1295" s="87">
        <v>44389</v>
      </c>
      <c r="C1295">
        <v>15692.6</v>
      </c>
    </row>
    <row r="1296" spans="2:3" x14ac:dyDescent="0.3">
      <c r="B1296" s="87">
        <v>44386</v>
      </c>
      <c r="C1296">
        <v>15689.8</v>
      </c>
    </row>
    <row r="1297" spans="2:3" x14ac:dyDescent="0.3">
      <c r="B1297" s="87">
        <v>44385</v>
      </c>
      <c r="C1297">
        <v>15727.9</v>
      </c>
    </row>
    <row r="1298" spans="2:3" x14ac:dyDescent="0.3">
      <c r="B1298" s="87">
        <v>44384</v>
      </c>
      <c r="C1298">
        <v>15879.65</v>
      </c>
    </row>
    <row r="1299" spans="2:3" x14ac:dyDescent="0.3">
      <c r="B1299" s="87">
        <v>44383</v>
      </c>
      <c r="C1299">
        <v>15818.25</v>
      </c>
    </row>
    <row r="1300" spans="2:3" x14ac:dyDescent="0.3">
      <c r="B1300" s="87">
        <v>44382</v>
      </c>
      <c r="C1300">
        <v>15834.35</v>
      </c>
    </row>
    <row r="1301" spans="2:3" x14ac:dyDescent="0.3">
      <c r="B1301" s="87">
        <v>44379</v>
      </c>
      <c r="C1301">
        <v>15722.2</v>
      </c>
    </row>
    <row r="1302" spans="2:3" x14ac:dyDescent="0.3">
      <c r="B1302" s="87">
        <v>44378</v>
      </c>
      <c r="C1302">
        <v>15680</v>
      </c>
    </row>
    <row r="1303" spans="2:3" x14ac:dyDescent="0.3">
      <c r="B1303" s="87">
        <v>44377</v>
      </c>
      <c r="C1303">
        <v>15721.5</v>
      </c>
    </row>
    <row r="1304" spans="2:3" x14ac:dyDescent="0.3">
      <c r="B1304" s="87">
        <v>44376</v>
      </c>
      <c r="C1304">
        <v>15748.45</v>
      </c>
    </row>
    <row r="1305" spans="2:3" x14ac:dyDescent="0.3">
      <c r="B1305" s="87">
        <v>44375</v>
      </c>
      <c r="C1305">
        <v>15814.7</v>
      </c>
    </row>
    <row r="1306" spans="2:3" x14ac:dyDescent="0.3">
      <c r="B1306" s="87">
        <v>44372</v>
      </c>
      <c r="C1306">
        <v>15860.35</v>
      </c>
    </row>
    <row r="1307" spans="2:3" x14ac:dyDescent="0.3">
      <c r="B1307" s="87">
        <v>44371</v>
      </c>
      <c r="C1307">
        <v>15790.45</v>
      </c>
    </row>
    <row r="1308" spans="2:3" x14ac:dyDescent="0.3">
      <c r="B1308" s="87">
        <v>44370</v>
      </c>
      <c r="C1308">
        <v>15686.95</v>
      </c>
    </row>
    <row r="1309" spans="2:3" x14ac:dyDescent="0.3">
      <c r="B1309" s="87">
        <v>44369</v>
      </c>
      <c r="C1309">
        <v>15772.75</v>
      </c>
    </row>
    <row r="1310" spans="2:3" x14ac:dyDescent="0.3">
      <c r="B1310" s="87">
        <v>44368</v>
      </c>
      <c r="C1310">
        <v>15746.5</v>
      </c>
    </row>
    <row r="1311" spans="2:3" x14ac:dyDescent="0.3">
      <c r="B1311" s="87">
        <v>44365</v>
      </c>
      <c r="C1311">
        <v>15683.35</v>
      </c>
    </row>
    <row r="1312" spans="2:3" x14ac:dyDescent="0.3">
      <c r="B1312" s="87">
        <v>44364</v>
      </c>
      <c r="C1312">
        <v>15691.4</v>
      </c>
    </row>
    <row r="1313" spans="2:3" x14ac:dyDescent="0.3">
      <c r="B1313" s="87">
        <v>44363</v>
      </c>
      <c r="C1313">
        <v>15767.55</v>
      </c>
    </row>
    <row r="1314" spans="2:3" x14ac:dyDescent="0.3">
      <c r="B1314" s="87">
        <v>44362</v>
      </c>
      <c r="C1314">
        <v>15869.25</v>
      </c>
    </row>
    <row r="1315" spans="2:3" x14ac:dyDescent="0.3">
      <c r="B1315" s="87">
        <v>44361</v>
      </c>
      <c r="C1315">
        <v>15811.85</v>
      </c>
    </row>
    <row r="1316" spans="2:3" x14ac:dyDescent="0.3">
      <c r="B1316" s="87">
        <v>44358</v>
      </c>
      <c r="C1316">
        <v>15799.35</v>
      </c>
    </row>
    <row r="1317" spans="2:3" x14ac:dyDescent="0.3">
      <c r="B1317" s="87">
        <v>44357</v>
      </c>
      <c r="C1317">
        <v>15737.75</v>
      </c>
    </row>
    <row r="1318" spans="2:3" x14ac:dyDescent="0.3">
      <c r="B1318" s="87">
        <v>44356</v>
      </c>
      <c r="C1318">
        <v>15635.35</v>
      </c>
    </row>
    <row r="1319" spans="2:3" x14ac:dyDescent="0.3">
      <c r="B1319" s="87">
        <v>44355</v>
      </c>
      <c r="C1319">
        <v>15740.1</v>
      </c>
    </row>
    <row r="1320" spans="2:3" x14ac:dyDescent="0.3">
      <c r="B1320" s="87">
        <v>44354</v>
      </c>
      <c r="C1320">
        <v>15751.65</v>
      </c>
    </row>
    <row r="1321" spans="2:3" x14ac:dyDescent="0.3">
      <c r="B1321" s="87">
        <v>44351</v>
      </c>
      <c r="C1321">
        <v>15670.25</v>
      </c>
    </row>
    <row r="1322" spans="2:3" x14ac:dyDescent="0.3">
      <c r="B1322" s="87">
        <v>44350</v>
      </c>
      <c r="C1322">
        <v>15690.35</v>
      </c>
    </row>
    <row r="1323" spans="2:3" x14ac:dyDescent="0.3">
      <c r="B1323" s="87">
        <v>44349</v>
      </c>
      <c r="C1323">
        <v>15576.2</v>
      </c>
    </row>
    <row r="1324" spans="2:3" x14ac:dyDescent="0.3">
      <c r="B1324" s="87">
        <v>44348</v>
      </c>
      <c r="C1324">
        <v>15574.85</v>
      </c>
    </row>
    <row r="1325" spans="2:3" x14ac:dyDescent="0.3">
      <c r="B1325" s="87">
        <v>44347</v>
      </c>
      <c r="C1325">
        <v>15582.8</v>
      </c>
    </row>
    <row r="1326" spans="2:3" x14ac:dyDescent="0.3">
      <c r="B1326" s="87">
        <v>44344</v>
      </c>
      <c r="C1326">
        <v>15435.65</v>
      </c>
    </row>
    <row r="1327" spans="2:3" x14ac:dyDescent="0.3">
      <c r="B1327" s="87">
        <v>44343</v>
      </c>
      <c r="C1327">
        <v>15337.85</v>
      </c>
    </row>
    <row r="1328" spans="2:3" x14ac:dyDescent="0.3">
      <c r="B1328" s="87">
        <v>44342</v>
      </c>
      <c r="C1328">
        <v>15301.45</v>
      </c>
    </row>
    <row r="1329" spans="2:3" x14ac:dyDescent="0.3">
      <c r="B1329" s="87">
        <v>44341</v>
      </c>
      <c r="C1329">
        <v>15208.45</v>
      </c>
    </row>
    <row r="1330" spans="2:3" x14ac:dyDescent="0.3">
      <c r="B1330" s="87">
        <v>44340</v>
      </c>
      <c r="C1330">
        <v>15197.7</v>
      </c>
    </row>
    <row r="1331" spans="2:3" x14ac:dyDescent="0.3">
      <c r="B1331" s="87">
        <v>44337</v>
      </c>
      <c r="C1331">
        <v>15175.3</v>
      </c>
    </row>
    <row r="1332" spans="2:3" x14ac:dyDescent="0.3">
      <c r="B1332" s="87">
        <v>44336</v>
      </c>
      <c r="C1332">
        <v>14906.05</v>
      </c>
    </row>
    <row r="1333" spans="2:3" x14ac:dyDescent="0.3">
      <c r="B1333" s="87">
        <v>44335</v>
      </c>
      <c r="C1333">
        <v>15030.15</v>
      </c>
    </row>
    <row r="1334" spans="2:3" x14ac:dyDescent="0.3">
      <c r="B1334" s="87">
        <v>44334</v>
      </c>
      <c r="C1334">
        <v>15108.1</v>
      </c>
    </row>
    <row r="1335" spans="2:3" x14ac:dyDescent="0.3">
      <c r="B1335" s="87">
        <v>44333</v>
      </c>
      <c r="C1335">
        <v>14923.15</v>
      </c>
    </row>
    <row r="1336" spans="2:3" x14ac:dyDescent="0.3">
      <c r="B1336" s="87">
        <v>44330</v>
      </c>
      <c r="C1336">
        <v>14677.8</v>
      </c>
    </row>
    <row r="1337" spans="2:3" x14ac:dyDescent="0.3">
      <c r="B1337" s="87">
        <v>44328</v>
      </c>
      <c r="C1337">
        <v>14696.5</v>
      </c>
    </row>
    <row r="1338" spans="2:3" x14ac:dyDescent="0.3">
      <c r="B1338" s="87">
        <v>44327</v>
      </c>
      <c r="C1338">
        <v>14850.75</v>
      </c>
    </row>
    <row r="1339" spans="2:3" x14ac:dyDescent="0.3">
      <c r="B1339" s="87">
        <v>44326</v>
      </c>
      <c r="C1339">
        <v>14942.35</v>
      </c>
    </row>
    <row r="1340" spans="2:3" x14ac:dyDescent="0.3">
      <c r="B1340" s="87">
        <v>44323</v>
      </c>
      <c r="C1340">
        <v>14823.15</v>
      </c>
    </row>
    <row r="1341" spans="2:3" x14ac:dyDescent="0.3">
      <c r="B1341" s="87">
        <v>44322</v>
      </c>
      <c r="C1341">
        <v>14724.8</v>
      </c>
    </row>
    <row r="1342" spans="2:3" x14ac:dyDescent="0.3">
      <c r="B1342" s="87">
        <v>44321</v>
      </c>
      <c r="C1342">
        <v>14617.85</v>
      </c>
    </row>
    <row r="1343" spans="2:3" x14ac:dyDescent="0.3">
      <c r="B1343" s="87">
        <v>44320</v>
      </c>
      <c r="C1343">
        <v>14496.5</v>
      </c>
    </row>
    <row r="1344" spans="2:3" x14ac:dyDescent="0.3">
      <c r="B1344" s="87">
        <v>44319</v>
      </c>
      <c r="C1344">
        <v>14634.15</v>
      </c>
    </row>
    <row r="1345" spans="2:3" x14ac:dyDescent="0.3">
      <c r="B1345" s="87">
        <v>44316</v>
      </c>
      <c r="C1345">
        <v>14631.1</v>
      </c>
    </row>
    <row r="1346" spans="2:3" x14ac:dyDescent="0.3">
      <c r="B1346" s="87">
        <v>44315</v>
      </c>
      <c r="C1346">
        <v>14894.9</v>
      </c>
    </row>
    <row r="1347" spans="2:3" x14ac:dyDescent="0.3">
      <c r="B1347" s="87">
        <v>44314</v>
      </c>
      <c r="C1347">
        <v>14864.55</v>
      </c>
    </row>
    <row r="1348" spans="2:3" x14ac:dyDescent="0.3">
      <c r="B1348" s="87">
        <v>44313</v>
      </c>
      <c r="C1348">
        <v>14653.05</v>
      </c>
    </row>
    <row r="1349" spans="2:3" x14ac:dyDescent="0.3">
      <c r="B1349" s="87">
        <v>44312</v>
      </c>
      <c r="C1349">
        <v>14485</v>
      </c>
    </row>
    <row r="1350" spans="2:3" x14ac:dyDescent="0.3">
      <c r="B1350" s="87">
        <v>44309</v>
      </c>
      <c r="C1350">
        <v>14341.35</v>
      </c>
    </row>
    <row r="1351" spans="2:3" x14ac:dyDescent="0.3">
      <c r="B1351" s="87">
        <v>44308</v>
      </c>
      <c r="C1351">
        <v>14406.15</v>
      </c>
    </row>
    <row r="1352" spans="2:3" x14ac:dyDescent="0.3">
      <c r="B1352" s="87">
        <v>44306</v>
      </c>
      <c r="C1352">
        <v>14296.4</v>
      </c>
    </row>
    <row r="1353" spans="2:3" x14ac:dyDescent="0.3">
      <c r="B1353" s="87">
        <v>44305</v>
      </c>
      <c r="C1353">
        <v>14359.45</v>
      </c>
    </row>
    <row r="1354" spans="2:3" x14ac:dyDescent="0.3">
      <c r="B1354" s="87">
        <v>44302</v>
      </c>
      <c r="C1354">
        <v>14617.85</v>
      </c>
    </row>
    <row r="1355" spans="2:3" x14ac:dyDescent="0.3">
      <c r="B1355" s="87">
        <v>44301</v>
      </c>
      <c r="C1355">
        <v>14581.45</v>
      </c>
    </row>
    <row r="1356" spans="2:3" x14ac:dyDescent="0.3">
      <c r="B1356" s="87">
        <v>44299</v>
      </c>
      <c r="C1356">
        <v>14504.8</v>
      </c>
    </row>
    <row r="1357" spans="2:3" x14ac:dyDescent="0.3">
      <c r="B1357" s="87">
        <v>44298</v>
      </c>
      <c r="C1357">
        <v>14310.8</v>
      </c>
    </row>
    <row r="1358" spans="2:3" x14ac:dyDescent="0.3">
      <c r="B1358" s="87">
        <v>44295</v>
      </c>
      <c r="C1358">
        <v>14834.85</v>
      </c>
    </row>
    <row r="1359" spans="2:3" x14ac:dyDescent="0.3">
      <c r="B1359" s="87">
        <v>44294</v>
      </c>
      <c r="C1359">
        <v>14873.8</v>
      </c>
    </row>
    <row r="1360" spans="2:3" x14ac:dyDescent="0.3">
      <c r="B1360" s="87">
        <v>44293</v>
      </c>
      <c r="C1360">
        <v>14819.05</v>
      </c>
    </row>
    <row r="1361" spans="2:3" x14ac:dyDescent="0.3">
      <c r="B1361" s="87">
        <v>44292</v>
      </c>
      <c r="C1361">
        <v>14683.5</v>
      </c>
    </row>
    <row r="1362" spans="2:3" x14ac:dyDescent="0.3">
      <c r="B1362" s="87">
        <v>44291</v>
      </c>
      <c r="C1362">
        <v>14637.8</v>
      </c>
    </row>
    <row r="1363" spans="2:3" x14ac:dyDescent="0.3">
      <c r="B1363" s="87">
        <v>44287</v>
      </c>
      <c r="C1363">
        <v>14867.35</v>
      </c>
    </row>
    <row r="1364" spans="2:3" x14ac:dyDescent="0.3">
      <c r="B1364" s="87">
        <v>44286</v>
      </c>
      <c r="C1364">
        <v>14690.7</v>
      </c>
    </row>
    <row r="1365" spans="2:3" x14ac:dyDescent="0.3">
      <c r="B1365" s="87">
        <v>44285</v>
      </c>
      <c r="C1365">
        <v>14845.1</v>
      </c>
    </row>
    <row r="1366" spans="2:3" x14ac:dyDescent="0.3">
      <c r="B1366" s="87">
        <v>44281</v>
      </c>
      <c r="C1366">
        <v>14507.3</v>
      </c>
    </row>
    <row r="1367" spans="2:3" x14ac:dyDescent="0.3">
      <c r="B1367" s="87">
        <v>44280</v>
      </c>
      <c r="C1367">
        <v>14324.9</v>
      </c>
    </row>
    <row r="1368" spans="2:3" x14ac:dyDescent="0.3">
      <c r="B1368" s="87">
        <v>44279</v>
      </c>
      <c r="C1368">
        <v>14549.4</v>
      </c>
    </row>
    <row r="1369" spans="2:3" x14ac:dyDescent="0.3">
      <c r="B1369" s="87">
        <v>44278</v>
      </c>
      <c r="C1369">
        <v>14814.75</v>
      </c>
    </row>
    <row r="1370" spans="2:3" x14ac:dyDescent="0.3">
      <c r="B1370" s="87">
        <v>44277</v>
      </c>
      <c r="C1370">
        <v>14736.4</v>
      </c>
    </row>
    <row r="1371" spans="2:3" x14ac:dyDescent="0.3">
      <c r="B1371" s="87">
        <v>44274</v>
      </c>
      <c r="C1371">
        <v>14744</v>
      </c>
    </row>
    <row r="1372" spans="2:3" x14ac:dyDescent="0.3">
      <c r="B1372" s="87">
        <v>44273</v>
      </c>
      <c r="C1372">
        <v>14557.85</v>
      </c>
    </row>
    <row r="1373" spans="2:3" x14ac:dyDescent="0.3">
      <c r="B1373" s="87">
        <v>44272</v>
      </c>
      <c r="C1373">
        <v>14721.3</v>
      </c>
    </row>
    <row r="1374" spans="2:3" x14ac:dyDescent="0.3">
      <c r="B1374" s="87">
        <v>44271</v>
      </c>
      <c r="C1374">
        <v>14910.45</v>
      </c>
    </row>
    <row r="1375" spans="2:3" x14ac:dyDescent="0.3">
      <c r="B1375" s="87">
        <v>44270</v>
      </c>
      <c r="C1375">
        <v>14929.5</v>
      </c>
    </row>
    <row r="1376" spans="2:3" x14ac:dyDescent="0.3">
      <c r="B1376" s="87">
        <v>44267</v>
      </c>
      <c r="C1376">
        <v>15030.95</v>
      </c>
    </row>
    <row r="1377" spans="2:3" x14ac:dyDescent="0.3">
      <c r="B1377" s="87">
        <v>44265</v>
      </c>
      <c r="C1377">
        <v>15174.8</v>
      </c>
    </row>
    <row r="1378" spans="2:3" x14ac:dyDescent="0.3">
      <c r="B1378" s="87">
        <v>44264</v>
      </c>
      <c r="C1378">
        <v>15098.4</v>
      </c>
    </row>
    <row r="1379" spans="2:3" x14ac:dyDescent="0.3">
      <c r="B1379" s="87">
        <v>44263</v>
      </c>
      <c r="C1379">
        <v>14956.2</v>
      </c>
    </row>
    <row r="1380" spans="2:3" x14ac:dyDescent="0.3">
      <c r="B1380" s="87">
        <v>44260</v>
      </c>
      <c r="C1380">
        <v>14938.1</v>
      </c>
    </row>
    <row r="1381" spans="2:3" x14ac:dyDescent="0.3">
      <c r="B1381" s="87">
        <v>44259</v>
      </c>
      <c r="C1381">
        <v>15080.75</v>
      </c>
    </row>
    <row r="1382" spans="2:3" x14ac:dyDescent="0.3">
      <c r="B1382" s="87">
        <v>44258</v>
      </c>
      <c r="C1382">
        <v>15245.6</v>
      </c>
    </row>
    <row r="1383" spans="2:3" x14ac:dyDescent="0.3">
      <c r="B1383" s="87">
        <v>44257</v>
      </c>
      <c r="C1383">
        <v>14919.1</v>
      </c>
    </row>
    <row r="1384" spans="2:3" x14ac:dyDescent="0.3">
      <c r="B1384" s="87">
        <v>44256</v>
      </c>
      <c r="C1384">
        <v>14761.55</v>
      </c>
    </row>
    <row r="1385" spans="2:3" x14ac:dyDescent="0.3">
      <c r="B1385" s="87">
        <v>44253</v>
      </c>
      <c r="C1385">
        <v>14529.15</v>
      </c>
    </row>
    <row r="1386" spans="2:3" x14ac:dyDescent="0.3">
      <c r="B1386" s="87">
        <v>44252</v>
      </c>
      <c r="C1386">
        <v>15097.35</v>
      </c>
    </row>
    <row r="1387" spans="2:3" x14ac:dyDescent="0.3">
      <c r="B1387" s="87">
        <v>44251</v>
      </c>
      <c r="C1387">
        <v>14982</v>
      </c>
    </row>
    <row r="1388" spans="2:3" x14ac:dyDescent="0.3">
      <c r="B1388" s="87">
        <v>44250</v>
      </c>
      <c r="C1388">
        <v>14707.8</v>
      </c>
    </row>
    <row r="1389" spans="2:3" x14ac:dyDescent="0.3">
      <c r="B1389" s="87">
        <v>44249</v>
      </c>
      <c r="C1389">
        <v>14675.7</v>
      </c>
    </row>
    <row r="1390" spans="2:3" x14ac:dyDescent="0.3">
      <c r="B1390" s="87">
        <v>44246</v>
      </c>
      <c r="C1390">
        <v>14981.75</v>
      </c>
    </row>
    <row r="1391" spans="2:3" x14ac:dyDescent="0.3">
      <c r="B1391" s="87">
        <v>44245</v>
      </c>
      <c r="C1391">
        <v>15118.95</v>
      </c>
    </row>
    <row r="1392" spans="2:3" x14ac:dyDescent="0.3">
      <c r="B1392" s="87">
        <v>44244</v>
      </c>
      <c r="C1392">
        <v>15208.9</v>
      </c>
    </row>
    <row r="1393" spans="2:3" x14ac:dyDescent="0.3">
      <c r="B1393" s="87">
        <v>44243</v>
      </c>
      <c r="C1393">
        <v>15313.45</v>
      </c>
    </row>
    <row r="1394" spans="2:3" x14ac:dyDescent="0.3">
      <c r="B1394" s="87">
        <v>44242</v>
      </c>
      <c r="C1394">
        <v>15314.7</v>
      </c>
    </row>
    <row r="1395" spans="2:3" x14ac:dyDescent="0.3">
      <c r="B1395" s="87">
        <v>44239</v>
      </c>
      <c r="C1395">
        <v>15163.3</v>
      </c>
    </row>
    <row r="1396" spans="2:3" x14ac:dyDescent="0.3">
      <c r="B1396" s="87">
        <v>44238</v>
      </c>
      <c r="C1396">
        <v>15173.3</v>
      </c>
    </row>
    <row r="1397" spans="2:3" x14ac:dyDescent="0.3">
      <c r="B1397" s="87">
        <v>44237</v>
      </c>
      <c r="C1397">
        <v>15106.5</v>
      </c>
    </row>
    <row r="1398" spans="2:3" x14ac:dyDescent="0.3">
      <c r="B1398" s="87">
        <v>44236</v>
      </c>
      <c r="C1398">
        <v>15109.3</v>
      </c>
    </row>
    <row r="1399" spans="2:3" x14ac:dyDescent="0.3">
      <c r="B1399" s="87">
        <v>44235</v>
      </c>
      <c r="C1399">
        <v>15115.8</v>
      </c>
    </row>
    <row r="1400" spans="2:3" x14ac:dyDescent="0.3">
      <c r="B1400" s="87">
        <v>44232</v>
      </c>
      <c r="C1400">
        <v>14924.25</v>
      </c>
    </row>
    <row r="1401" spans="2:3" x14ac:dyDescent="0.3">
      <c r="B1401" s="87">
        <v>44231</v>
      </c>
      <c r="C1401">
        <v>14895.65</v>
      </c>
    </row>
    <row r="1402" spans="2:3" x14ac:dyDescent="0.3">
      <c r="B1402" s="87">
        <v>44230</v>
      </c>
      <c r="C1402">
        <v>14789.95</v>
      </c>
    </row>
    <row r="1403" spans="2:3" x14ac:dyDescent="0.3">
      <c r="B1403" s="87">
        <v>44229</v>
      </c>
      <c r="C1403">
        <v>14647.85</v>
      </c>
    </row>
    <row r="1404" spans="2:3" x14ac:dyDescent="0.3">
      <c r="B1404" s="87">
        <v>44228</v>
      </c>
      <c r="C1404">
        <v>14281.2</v>
      </c>
    </row>
    <row r="1405" spans="2:3" x14ac:dyDescent="0.3">
      <c r="B1405" s="87">
        <v>44225</v>
      </c>
      <c r="C1405">
        <v>13634.6</v>
      </c>
    </row>
    <row r="1406" spans="2:3" x14ac:dyDescent="0.3">
      <c r="B1406" s="87">
        <v>44224</v>
      </c>
      <c r="C1406">
        <v>13817.55</v>
      </c>
    </row>
    <row r="1407" spans="2:3" x14ac:dyDescent="0.3">
      <c r="B1407" s="87">
        <v>44223</v>
      </c>
      <c r="C1407">
        <v>13967.5</v>
      </c>
    </row>
    <row r="1408" spans="2:3" x14ac:dyDescent="0.3">
      <c r="B1408" s="87">
        <v>44221</v>
      </c>
      <c r="C1408">
        <v>14238.9</v>
      </c>
    </row>
    <row r="1409" spans="2:3" x14ac:dyDescent="0.3">
      <c r="B1409" s="87">
        <v>44218</v>
      </c>
      <c r="C1409">
        <v>14371.9</v>
      </c>
    </row>
    <row r="1410" spans="2:3" x14ac:dyDescent="0.3">
      <c r="B1410" s="87">
        <v>44217</v>
      </c>
      <c r="C1410">
        <v>14590.35</v>
      </c>
    </row>
    <row r="1411" spans="2:3" x14ac:dyDescent="0.3">
      <c r="B1411" s="87">
        <v>44216</v>
      </c>
      <c r="C1411">
        <v>14644.7</v>
      </c>
    </row>
    <row r="1412" spans="2:3" x14ac:dyDescent="0.3">
      <c r="B1412" s="87">
        <v>44215</v>
      </c>
      <c r="C1412">
        <v>14521.15</v>
      </c>
    </row>
    <row r="1413" spans="2:3" x14ac:dyDescent="0.3">
      <c r="B1413" s="87">
        <v>44214</v>
      </c>
      <c r="C1413">
        <v>14281.3</v>
      </c>
    </row>
    <row r="1414" spans="2:3" x14ac:dyDescent="0.3">
      <c r="B1414" s="87">
        <v>44211</v>
      </c>
      <c r="C1414">
        <v>14433.7</v>
      </c>
    </row>
    <row r="1415" spans="2:3" x14ac:dyDescent="0.3">
      <c r="B1415" s="87">
        <v>44210</v>
      </c>
      <c r="C1415">
        <v>14595.6</v>
      </c>
    </row>
    <row r="1416" spans="2:3" x14ac:dyDescent="0.3">
      <c r="B1416" s="87">
        <v>44209</v>
      </c>
      <c r="C1416">
        <v>14564.85</v>
      </c>
    </row>
    <row r="1417" spans="2:3" x14ac:dyDescent="0.3">
      <c r="B1417" s="87">
        <v>44208</v>
      </c>
      <c r="C1417">
        <v>14563.45</v>
      </c>
    </row>
    <row r="1418" spans="2:3" x14ac:dyDescent="0.3">
      <c r="B1418" s="87">
        <v>44207</v>
      </c>
      <c r="C1418">
        <v>14484.75</v>
      </c>
    </row>
    <row r="1419" spans="2:3" x14ac:dyDescent="0.3">
      <c r="B1419" s="87">
        <v>44204</v>
      </c>
      <c r="C1419">
        <v>14347.25</v>
      </c>
    </row>
    <row r="1420" spans="2:3" x14ac:dyDescent="0.3">
      <c r="B1420" s="87">
        <v>44203</v>
      </c>
      <c r="C1420">
        <v>14137.35</v>
      </c>
    </row>
    <row r="1421" spans="2:3" x14ac:dyDescent="0.3">
      <c r="B1421" s="87">
        <v>44202</v>
      </c>
      <c r="C1421">
        <v>14146.25</v>
      </c>
    </row>
    <row r="1422" spans="2:3" x14ac:dyDescent="0.3">
      <c r="B1422" s="87">
        <v>44201</v>
      </c>
      <c r="C1422">
        <v>14199.5</v>
      </c>
    </row>
    <row r="1423" spans="2:3" x14ac:dyDescent="0.3">
      <c r="B1423" s="87">
        <v>44200</v>
      </c>
      <c r="C1423">
        <v>14132.9</v>
      </c>
    </row>
    <row r="1424" spans="2:3" x14ac:dyDescent="0.3">
      <c r="B1424" s="87">
        <v>44197</v>
      </c>
      <c r="C1424">
        <v>14018.5</v>
      </c>
    </row>
    <row r="1425" spans="2:3" x14ac:dyDescent="0.3">
      <c r="B1425" s="87">
        <v>44196</v>
      </c>
      <c r="C1425">
        <v>13981.75</v>
      </c>
    </row>
    <row r="1426" spans="2:3" x14ac:dyDescent="0.3">
      <c r="B1426" s="87">
        <v>44195</v>
      </c>
      <c r="C1426">
        <v>13981.95</v>
      </c>
    </row>
    <row r="1427" spans="2:3" x14ac:dyDescent="0.3">
      <c r="B1427" s="87">
        <v>44194</v>
      </c>
      <c r="C1427">
        <v>13932.6</v>
      </c>
    </row>
    <row r="1428" spans="2:3" x14ac:dyDescent="0.3">
      <c r="B1428" s="87">
        <v>44193</v>
      </c>
      <c r="C1428">
        <v>13873.2</v>
      </c>
    </row>
    <row r="1429" spans="2:3" x14ac:dyDescent="0.3">
      <c r="B1429" s="87">
        <v>44189</v>
      </c>
      <c r="C1429">
        <v>13749.25</v>
      </c>
    </row>
    <row r="1430" spans="2:3" x14ac:dyDescent="0.3">
      <c r="B1430" s="87">
        <v>44188</v>
      </c>
      <c r="C1430">
        <v>13601.1</v>
      </c>
    </row>
    <row r="1431" spans="2:3" x14ac:dyDescent="0.3">
      <c r="B1431" s="87">
        <v>44187</v>
      </c>
      <c r="C1431">
        <v>13466.3</v>
      </c>
    </row>
    <row r="1432" spans="2:3" x14ac:dyDescent="0.3">
      <c r="B1432" s="87">
        <v>44186</v>
      </c>
      <c r="C1432">
        <v>13328.4</v>
      </c>
    </row>
    <row r="1433" spans="2:3" x14ac:dyDescent="0.3">
      <c r="B1433" s="87">
        <v>44183</v>
      </c>
      <c r="C1433">
        <v>13760.55</v>
      </c>
    </row>
    <row r="1434" spans="2:3" x14ac:dyDescent="0.3">
      <c r="B1434" s="87">
        <v>44182</v>
      </c>
      <c r="C1434">
        <v>13740.7</v>
      </c>
    </row>
    <row r="1435" spans="2:3" x14ac:dyDescent="0.3">
      <c r="B1435" s="87">
        <v>44181</v>
      </c>
      <c r="C1435">
        <v>13682.7</v>
      </c>
    </row>
    <row r="1436" spans="2:3" x14ac:dyDescent="0.3">
      <c r="B1436" s="87">
        <v>44180</v>
      </c>
      <c r="C1436">
        <v>13567.85</v>
      </c>
    </row>
    <row r="1437" spans="2:3" x14ac:dyDescent="0.3">
      <c r="B1437" s="87">
        <v>44179</v>
      </c>
      <c r="C1437">
        <v>13558.15</v>
      </c>
    </row>
    <row r="1438" spans="2:3" x14ac:dyDescent="0.3">
      <c r="B1438" s="87">
        <v>44176</v>
      </c>
      <c r="C1438">
        <v>13513.85</v>
      </c>
    </row>
    <row r="1439" spans="2:3" x14ac:dyDescent="0.3">
      <c r="B1439" s="87">
        <v>44175</v>
      </c>
      <c r="C1439">
        <v>13478.3</v>
      </c>
    </row>
    <row r="1440" spans="2:3" x14ac:dyDescent="0.3">
      <c r="B1440" s="87">
        <v>44174</v>
      </c>
      <c r="C1440">
        <v>13529.1</v>
      </c>
    </row>
    <row r="1441" spans="2:3" x14ac:dyDescent="0.3">
      <c r="B1441" s="87">
        <v>44173</v>
      </c>
      <c r="C1441">
        <v>13392.95</v>
      </c>
    </row>
    <row r="1442" spans="2:3" x14ac:dyDescent="0.3">
      <c r="B1442" s="87">
        <v>44172</v>
      </c>
      <c r="C1442">
        <v>13355.75</v>
      </c>
    </row>
    <row r="1443" spans="2:3" x14ac:dyDescent="0.3">
      <c r="B1443" s="87">
        <v>44169</v>
      </c>
      <c r="C1443">
        <v>13258.55</v>
      </c>
    </row>
    <row r="1444" spans="2:3" x14ac:dyDescent="0.3">
      <c r="B1444" s="87">
        <v>44168</v>
      </c>
      <c r="C1444">
        <v>13133.9</v>
      </c>
    </row>
    <row r="1445" spans="2:3" x14ac:dyDescent="0.3">
      <c r="B1445" s="87">
        <v>44167</v>
      </c>
      <c r="C1445">
        <v>13113.75</v>
      </c>
    </row>
    <row r="1446" spans="2:3" x14ac:dyDescent="0.3">
      <c r="B1446" s="87">
        <v>44166</v>
      </c>
      <c r="C1446">
        <v>13109.05</v>
      </c>
    </row>
    <row r="1447" spans="2:3" x14ac:dyDescent="0.3">
      <c r="B1447" s="87">
        <v>44162</v>
      </c>
      <c r="C1447">
        <v>12968.95</v>
      </c>
    </row>
    <row r="1448" spans="2:3" x14ac:dyDescent="0.3">
      <c r="B1448" s="87">
        <v>44161</v>
      </c>
      <c r="C1448">
        <v>12987</v>
      </c>
    </row>
    <row r="1449" spans="2:3" x14ac:dyDescent="0.3">
      <c r="B1449" s="87">
        <v>44160</v>
      </c>
      <c r="C1449">
        <v>12858.4</v>
      </c>
    </row>
    <row r="1450" spans="2:3" x14ac:dyDescent="0.3">
      <c r="B1450" s="87">
        <v>44159</v>
      </c>
      <c r="C1450">
        <v>13055.15</v>
      </c>
    </row>
    <row r="1451" spans="2:3" x14ac:dyDescent="0.3">
      <c r="B1451" s="87">
        <v>44158</v>
      </c>
      <c r="C1451">
        <v>12926.45</v>
      </c>
    </row>
    <row r="1452" spans="2:3" x14ac:dyDescent="0.3">
      <c r="B1452" s="87">
        <v>44155</v>
      </c>
      <c r="C1452">
        <v>12859.05</v>
      </c>
    </row>
    <row r="1453" spans="2:3" x14ac:dyDescent="0.3">
      <c r="B1453" s="87">
        <v>44154</v>
      </c>
      <c r="C1453">
        <v>12771.7</v>
      </c>
    </row>
    <row r="1454" spans="2:3" x14ac:dyDescent="0.3">
      <c r="B1454" s="87">
        <v>44153</v>
      </c>
      <c r="C1454">
        <v>12938.25</v>
      </c>
    </row>
    <row r="1455" spans="2:3" x14ac:dyDescent="0.3">
      <c r="B1455" s="87">
        <v>44152</v>
      </c>
      <c r="C1455">
        <v>12874.2</v>
      </c>
    </row>
    <row r="1456" spans="2:3" x14ac:dyDescent="0.3">
      <c r="B1456" s="87">
        <v>44149</v>
      </c>
      <c r="C1456">
        <v>12780.25</v>
      </c>
    </row>
    <row r="1457" spans="2:3" x14ac:dyDescent="0.3">
      <c r="B1457" s="87">
        <v>44148</v>
      </c>
      <c r="C1457">
        <v>12719.95</v>
      </c>
    </row>
    <row r="1458" spans="2:3" x14ac:dyDescent="0.3">
      <c r="B1458" s="87">
        <v>44147</v>
      </c>
      <c r="C1458">
        <v>12690.8</v>
      </c>
    </row>
    <row r="1459" spans="2:3" x14ac:dyDescent="0.3">
      <c r="B1459" s="87">
        <v>44146</v>
      </c>
      <c r="C1459">
        <v>12749.15</v>
      </c>
    </row>
    <row r="1460" spans="2:3" x14ac:dyDescent="0.3">
      <c r="B1460" s="87">
        <v>44145</v>
      </c>
      <c r="C1460">
        <v>12631.1</v>
      </c>
    </row>
    <row r="1461" spans="2:3" x14ac:dyDescent="0.3">
      <c r="B1461" s="87">
        <v>44144</v>
      </c>
      <c r="C1461">
        <v>12461.05</v>
      </c>
    </row>
    <row r="1462" spans="2:3" x14ac:dyDescent="0.3">
      <c r="B1462" s="87">
        <v>44141</v>
      </c>
      <c r="C1462">
        <v>12263.55</v>
      </c>
    </row>
    <row r="1463" spans="2:3" x14ac:dyDescent="0.3">
      <c r="B1463" s="87">
        <v>44140</v>
      </c>
      <c r="C1463">
        <v>12120.3</v>
      </c>
    </row>
    <row r="1464" spans="2:3" x14ac:dyDescent="0.3">
      <c r="B1464" s="87">
        <v>44139</v>
      </c>
      <c r="C1464">
        <v>11908.5</v>
      </c>
    </row>
    <row r="1465" spans="2:3" x14ac:dyDescent="0.3">
      <c r="B1465" s="87">
        <v>44138</v>
      </c>
      <c r="C1465">
        <v>11813.5</v>
      </c>
    </row>
    <row r="1466" spans="2:3" x14ac:dyDescent="0.3">
      <c r="B1466" s="87">
        <v>44137</v>
      </c>
      <c r="C1466">
        <v>11669.15</v>
      </c>
    </row>
    <row r="1467" spans="2:3" x14ac:dyDescent="0.3">
      <c r="B1467" s="87">
        <v>44134</v>
      </c>
      <c r="C1467">
        <v>11642.4</v>
      </c>
    </row>
    <row r="1468" spans="2:3" x14ac:dyDescent="0.3">
      <c r="B1468" s="87">
        <v>44133</v>
      </c>
      <c r="C1468">
        <v>11670.8</v>
      </c>
    </row>
    <row r="1469" spans="2:3" x14ac:dyDescent="0.3">
      <c r="B1469" s="87">
        <v>44132</v>
      </c>
      <c r="C1469">
        <v>11729.6</v>
      </c>
    </row>
    <row r="1470" spans="2:3" x14ac:dyDescent="0.3">
      <c r="B1470" s="87">
        <v>44131</v>
      </c>
      <c r="C1470">
        <v>11889.4</v>
      </c>
    </row>
    <row r="1471" spans="2:3" x14ac:dyDescent="0.3">
      <c r="B1471" s="87">
        <v>44130</v>
      </c>
      <c r="C1471">
        <v>11767.75</v>
      </c>
    </row>
    <row r="1472" spans="2:3" x14ac:dyDescent="0.3">
      <c r="B1472" s="87">
        <v>44127</v>
      </c>
      <c r="C1472">
        <v>11930.35</v>
      </c>
    </row>
    <row r="1473" spans="2:3" x14ac:dyDescent="0.3">
      <c r="B1473" s="87">
        <v>44126</v>
      </c>
      <c r="C1473">
        <v>11896.45</v>
      </c>
    </row>
    <row r="1474" spans="2:3" x14ac:dyDescent="0.3">
      <c r="B1474" s="87">
        <v>44125</v>
      </c>
      <c r="C1474">
        <v>11937.65</v>
      </c>
    </row>
    <row r="1475" spans="2:3" x14ac:dyDescent="0.3">
      <c r="B1475" s="87">
        <v>44124</v>
      </c>
      <c r="C1475">
        <v>11896.8</v>
      </c>
    </row>
    <row r="1476" spans="2:3" x14ac:dyDescent="0.3">
      <c r="B1476" s="87">
        <v>44123</v>
      </c>
      <c r="C1476">
        <v>11873.05</v>
      </c>
    </row>
    <row r="1477" spans="2:3" x14ac:dyDescent="0.3">
      <c r="B1477" s="87">
        <v>44120</v>
      </c>
      <c r="C1477">
        <v>11762.45</v>
      </c>
    </row>
    <row r="1478" spans="2:3" x14ac:dyDescent="0.3">
      <c r="B1478" s="87">
        <v>44119</v>
      </c>
      <c r="C1478">
        <v>11680.35</v>
      </c>
    </row>
    <row r="1479" spans="2:3" x14ac:dyDescent="0.3">
      <c r="B1479" s="87">
        <v>44118</v>
      </c>
      <c r="C1479">
        <v>11971.05</v>
      </c>
    </row>
    <row r="1480" spans="2:3" x14ac:dyDescent="0.3">
      <c r="B1480" s="87">
        <v>44117</v>
      </c>
      <c r="C1480">
        <v>11934.5</v>
      </c>
    </row>
    <row r="1481" spans="2:3" x14ac:dyDescent="0.3">
      <c r="B1481" s="87">
        <v>44116</v>
      </c>
      <c r="C1481">
        <v>11930.95</v>
      </c>
    </row>
    <row r="1482" spans="2:3" x14ac:dyDescent="0.3">
      <c r="B1482" s="87">
        <v>44113</v>
      </c>
      <c r="C1482">
        <v>11914.2</v>
      </c>
    </row>
    <row r="1483" spans="2:3" x14ac:dyDescent="0.3">
      <c r="B1483" s="87">
        <v>44112</v>
      </c>
      <c r="C1483">
        <v>11834.6</v>
      </c>
    </row>
    <row r="1484" spans="2:3" x14ac:dyDescent="0.3">
      <c r="B1484" s="87">
        <v>44111</v>
      </c>
      <c r="C1484">
        <v>11738.85</v>
      </c>
    </row>
    <row r="1485" spans="2:3" x14ac:dyDescent="0.3">
      <c r="B1485" s="87">
        <v>44110</v>
      </c>
      <c r="C1485">
        <v>11662.4</v>
      </c>
    </row>
    <row r="1486" spans="2:3" x14ac:dyDescent="0.3">
      <c r="B1486" s="87">
        <v>44109</v>
      </c>
      <c r="C1486">
        <v>11503.35</v>
      </c>
    </row>
    <row r="1487" spans="2:3" x14ac:dyDescent="0.3">
      <c r="B1487" s="87">
        <v>44105</v>
      </c>
      <c r="C1487">
        <v>11416.95</v>
      </c>
    </row>
    <row r="1488" spans="2:3" x14ac:dyDescent="0.3">
      <c r="B1488" s="87">
        <v>44104</v>
      </c>
      <c r="C1488">
        <v>11247.55</v>
      </c>
    </row>
    <row r="1489" spans="2:3" x14ac:dyDescent="0.3">
      <c r="B1489" s="87">
        <v>44103</v>
      </c>
      <c r="C1489">
        <v>11222.4</v>
      </c>
    </row>
    <row r="1490" spans="2:3" x14ac:dyDescent="0.3">
      <c r="B1490" s="87">
        <v>44102</v>
      </c>
      <c r="C1490">
        <v>11227.55</v>
      </c>
    </row>
    <row r="1491" spans="2:3" x14ac:dyDescent="0.3">
      <c r="B1491" s="87">
        <v>44099</v>
      </c>
      <c r="C1491">
        <v>11050.25</v>
      </c>
    </row>
    <row r="1492" spans="2:3" x14ac:dyDescent="0.3">
      <c r="B1492" s="87">
        <v>44098</v>
      </c>
      <c r="C1492">
        <v>10805.55</v>
      </c>
    </row>
    <row r="1493" spans="2:3" x14ac:dyDescent="0.3">
      <c r="B1493" s="87">
        <v>44097</v>
      </c>
      <c r="C1493">
        <v>11131.85</v>
      </c>
    </row>
    <row r="1494" spans="2:3" x14ac:dyDescent="0.3">
      <c r="B1494" s="87">
        <v>44096</v>
      </c>
      <c r="C1494">
        <v>11153.65</v>
      </c>
    </row>
    <row r="1495" spans="2:3" x14ac:dyDescent="0.3">
      <c r="B1495" s="87">
        <v>44095</v>
      </c>
      <c r="C1495">
        <v>11250.55</v>
      </c>
    </row>
    <row r="1496" spans="2:3" x14ac:dyDescent="0.3">
      <c r="B1496" s="87">
        <v>44092</v>
      </c>
      <c r="C1496">
        <v>11504.95</v>
      </c>
    </row>
    <row r="1497" spans="2:3" x14ac:dyDescent="0.3">
      <c r="B1497" s="87">
        <v>44091</v>
      </c>
      <c r="C1497">
        <v>11516.1</v>
      </c>
    </row>
    <row r="1498" spans="2:3" x14ac:dyDescent="0.3">
      <c r="B1498" s="87">
        <v>44090</v>
      </c>
      <c r="C1498">
        <v>11604.55</v>
      </c>
    </row>
    <row r="1499" spans="2:3" x14ac:dyDescent="0.3">
      <c r="B1499" s="87">
        <v>44089</v>
      </c>
      <c r="C1499">
        <v>11521.8</v>
      </c>
    </row>
    <row r="1500" spans="2:3" x14ac:dyDescent="0.3">
      <c r="B1500" s="87">
        <v>44088</v>
      </c>
      <c r="C1500">
        <v>11440.05</v>
      </c>
    </row>
    <row r="1501" spans="2:3" x14ac:dyDescent="0.3">
      <c r="B1501" s="87">
        <v>44085</v>
      </c>
      <c r="C1501">
        <v>11464.45</v>
      </c>
    </row>
    <row r="1502" spans="2:3" x14ac:dyDescent="0.3">
      <c r="B1502" s="87">
        <v>44084</v>
      </c>
      <c r="C1502">
        <v>11449.25</v>
      </c>
    </row>
    <row r="1503" spans="2:3" x14ac:dyDescent="0.3">
      <c r="B1503" s="87">
        <v>44083</v>
      </c>
      <c r="C1503">
        <v>11278</v>
      </c>
    </row>
    <row r="1504" spans="2:3" x14ac:dyDescent="0.3">
      <c r="B1504" s="87">
        <v>44082</v>
      </c>
      <c r="C1504">
        <v>11317.35</v>
      </c>
    </row>
    <row r="1505" spans="2:3" x14ac:dyDescent="0.3">
      <c r="B1505" s="87">
        <v>44081</v>
      </c>
      <c r="C1505">
        <v>11355.05</v>
      </c>
    </row>
    <row r="1506" spans="2:3" x14ac:dyDescent="0.3">
      <c r="B1506" s="87">
        <v>44078</v>
      </c>
      <c r="C1506">
        <v>11333.85</v>
      </c>
    </row>
    <row r="1507" spans="2:3" x14ac:dyDescent="0.3">
      <c r="B1507" s="87">
        <v>44077</v>
      </c>
      <c r="C1507">
        <v>11527.45</v>
      </c>
    </row>
    <row r="1508" spans="2:3" x14ac:dyDescent="0.3">
      <c r="B1508" s="87">
        <v>44076</v>
      </c>
      <c r="C1508">
        <v>11535</v>
      </c>
    </row>
    <row r="1509" spans="2:3" x14ac:dyDescent="0.3">
      <c r="B1509" s="87">
        <v>44075</v>
      </c>
      <c r="C1509">
        <v>11470.25</v>
      </c>
    </row>
    <row r="1510" spans="2:3" x14ac:dyDescent="0.3">
      <c r="B1510" s="87">
        <v>44074</v>
      </c>
      <c r="C1510">
        <v>11387.5</v>
      </c>
    </row>
    <row r="1511" spans="2:3" x14ac:dyDescent="0.3">
      <c r="B1511" s="87">
        <v>44071</v>
      </c>
      <c r="C1511">
        <v>11647.6</v>
      </c>
    </row>
    <row r="1512" spans="2:3" x14ac:dyDescent="0.3">
      <c r="B1512" s="87">
        <v>44070</v>
      </c>
      <c r="C1512">
        <v>11559.25</v>
      </c>
    </row>
    <row r="1513" spans="2:3" x14ac:dyDescent="0.3">
      <c r="B1513" s="87">
        <v>44069</v>
      </c>
      <c r="C1513">
        <v>11549.6</v>
      </c>
    </row>
    <row r="1514" spans="2:3" x14ac:dyDescent="0.3">
      <c r="B1514" s="87">
        <v>44068</v>
      </c>
      <c r="C1514">
        <v>11472.25</v>
      </c>
    </row>
    <row r="1515" spans="2:3" x14ac:dyDescent="0.3">
      <c r="B1515" s="87">
        <v>44067</v>
      </c>
      <c r="C1515">
        <v>11466.45</v>
      </c>
    </row>
    <row r="1516" spans="2:3" x14ac:dyDescent="0.3">
      <c r="B1516" s="87">
        <v>44064</v>
      </c>
      <c r="C1516">
        <v>11371.6</v>
      </c>
    </row>
    <row r="1517" spans="2:3" x14ac:dyDescent="0.3">
      <c r="B1517" s="87">
        <v>44063</v>
      </c>
      <c r="C1517">
        <v>11312.2</v>
      </c>
    </row>
    <row r="1518" spans="2:3" x14ac:dyDescent="0.3">
      <c r="B1518" s="87">
        <v>44062</v>
      </c>
      <c r="C1518">
        <v>11408.4</v>
      </c>
    </row>
    <row r="1519" spans="2:3" x14ac:dyDescent="0.3">
      <c r="B1519" s="87">
        <v>44061</v>
      </c>
      <c r="C1519">
        <v>11385.35</v>
      </c>
    </row>
    <row r="1520" spans="2:3" x14ac:dyDescent="0.3">
      <c r="B1520" s="87">
        <v>44060</v>
      </c>
      <c r="C1520">
        <v>11247.1</v>
      </c>
    </row>
    <row r="1521" spans="2:3" x14ac:dyDescent="0.3">
      <c r="B1521" s="87">
        <v>44057</v>
      </c>
      <c r="C1521">
        <v>11178.4</v>
      </c>
    </row>
    <row r="1522" spans="2:3" x14ac:dyDescent="0.3">
      <c r="B1522" s="87">
        <v>44056</v>
      </c>
      <c r="C1522">
        <v>11300.45</v>
      </c>
    </row>
    <row r="1523" spans="2:3" x14ac:dyDescent="0.3">
      <c r="B1523" s="87">
        <v>44055</v>
      </c>
      <c r="C1523">
        <v>11308.4</v>
      </c>
    </row>
    <row r="1524" spans="2:3" x14ac:dyDescent="0.3">
      <c r="B1524" s="87">
        <v>44054</v>
      </c>
      <c r="C1524">
        <v>11322.5</v>
      </c>
    </row>
    <row r="1525" spans="2:3" x14ac:dyDescent="0.3">
      <c r="B1525" s="87">
        <v>44053</v>
      </c>
      <c r="C1525">
        <v>11270.15</v>
      </c>
    </row>
    <row r="1526" spans="2:3" x14ac:dyDescent="0.3">
      <c r="B1526" s="87">
        <v>44050</v>
      </c>
      <c r="C1526">
        <v>11214.05</v>
      </c>
    </row>
    <row r="1527" spans="2:3" x14ac:dyDescent="0.3">
      <c r="B1527" s="87">
        <v>44049</v>
      </c>
      <c r="C1527">
        <v>11200.15</v>
      </c>
    </row>
    <row r="1528" spans="2:3" x14ac:dyDescent="0.3">
      <c r="B1528" s="87">
        <v>44048</v>
      </c>
      <c r="C1528">
        <v>11101.65</v>
      </c>
    </row>
    <row r="1529" spans="2:3" x14ac:dyDescent="0.3">
      <c r="B1529" s="87">
        <v>44047</v>
      </c>
      <c r="C1529">
        <v>11095.25</v>
      </c>
    </row>
    <row r="1530" spans="2:3" x14ac:dyDescent="0.3">
      <c r="B1530" s="87">
        <v>44046</v>
      </c>
      <c r="C1530">
        <v>10891.6</v>
      </c>
    </row>
    <row r="1531" spans="2:3" x14ac:dyDescent="0.3">
      <c r="B1531" s="87">
        <v>44043</v>
      </c>
      <c r="C1531">
        <v>11073.45</v>
      </c>
    </row>
    <row r="1532" spans="2:3" x14ac:dyDescent="0.3">
      <c r="B1532" s="87">
        <v>44042</v>
      </c>
      <c r="C1532">
        <v>11102.15</v>
      </c>
    </row>
    <row r="1533" spans="2:3" x14ac:dyDescent="0.3">
      <c r="B1533" s="87">
        <v>44041</v>
      </c>
      <c r="C1533">
        <v>11202.85</v>
      </c>
    </row>
    <row r="1534" spans="2:3" x14ac:dyDescent="0.3">
      <c r="B1534" s="87">
        <v>44040</v>
      </c>
      <c r="C1534">
        <v>11300.55</v>
      </c>
    </row>
    <row r="1535" spans="2:3" x14ac:dyDescent="0.3">
      <c r="B1535" s="87">
        <v>44039</v>
      </c>
      <c r="C1535">
        <v>11131.8</v>
      </c>
    </row>
    <row r="1536" spans="2:3" x14ac:dyDescent="0.3">
      <c r="B1536" s="87">
        <v>44036</v>
      </c>
      <c r="C1536">
        <v>11194.15</v>
      </c>
    </row>
    <row r="1537" spans="2:3" x14ac:dyDescent="0.3">
      <c r="B1537" s="87">
        <v>44035</v>
      </c>
      <c r="C1537">
        <v>11215.45</v>
      </c>
    </row>
    <row r="1538" spans="2:3" x14ac:dyDescent="0.3">
      <c r="B1538" s="87">
        <v>44034</v>
      </c>
      <c r="C1538">
        <v>11132.6</v>
      </c>
    </row>
    <row r="1539" spans="2:3" x14ac:dyDescent="0.3">
      <c r="B1539" s="87">
        <v>44033</v>
      </c>
      <c r="C1539">
        <v>11162.25</v>
      </c>
    </row>
    <row r="1540" spans="2:3" x14ac:dyDescent="0.3">
      <c r="B1540" s="87">
        <v>44032</v>
      </c>
      <c r="C1540">
        <v>11022.2</v>
      </c>
    </row>
    <row r="1541" spans="2:3" x14ac:dyDescent="0.3">
      <c r="B1541" s="87">
        <v>44029</v>
      </c>
      <c r="C1541">
        <v>10901.7</v>
      </c>
    </row>
    <row r="1542" spans="2:3" x14ac:dyDescent="0.3">
      <c r="B1542" s="87">
        <v>44028</v>
      </c>
      <c r="C1542">
        <v>10739.95</v>
      </c>
    </row>
    <row r="1543" spans="2:3" x14ac:dyDescent="0.3">
      <c r="B1543" s="87">
        <v>44027</v>
      </c>
      <c r="C1543">
        <v>10618.2</v>
      </c>
    </row>
    <row r="1544" spans="2:3" x14ac:dyDescent="0.3">
      <c r="B1544" s="87">
        <v>44026</v>
      </c>
      <c r="C1544">
        <v>10607.35</v>
      </c>
    </row>
    <row r="1545" spans="2:3" x14ac:dyDescent="0.3">
      <c r="B1545" s="87">
        <v>44025</v>
      </c>
      <c r="C1545">
        <v>10802.7</v>
      </c>
    </row>
    <row r="1546" spans="2:3" x14ac:dyDescent="0.3">
      <c r="B1546" s="87">
        <v>44022</v>
      </c>
      <c r="C1546">
        <v>10768.05</v>
      </c>
    </row>
    <row r="1547" spans="2:3" x14ac:dyDescent="0.3">
      <c r="B1547" s="87">
        <v>44021</v>
      </c>
      <c r="C1547">
        <v>10813.45</v>
      </c>
    </row>
    <row r="1548" spans="2:3" x14ac:dyDescent="0.3">
      <c r="B1548" s="87">
        <v>44020</v>
      </c>
      <c r="C1548">
        <v>10705.75</v>
      </c>
    </row>
    <row r="1549" spans="2:3" x14ac:dyDescent="0.3">
      <c r="B1549" s="87">
        <v>44019</v>
      </c>
      <c r="C1549">
        <v>10799.65</v>
      </c>
    </row>
    <row r="1550" spans="2:3" x14ac:dyDescent="0.3">
      <c r="B1550" s="87">
        <v>44018</v>
      </c>
      <c r="C1550">
        <v>10763.65</v>
      </c>
    </row>
    <row r="1551" spans="2:3" x14ac:dyDescent="0.3">
      <c r="B1551" s="87">
        <v>44015</v>
      </c>
      <c r="C1551">
        <v>10607.35</v>
      </c>
    </row>
    <row r="1552" spans="2:3" x14ac:dyDescent="0.3">
      <c r="B1552" s="87">
        <v>44014</v>
      </c>
      <c r="C1552">
        <v>10551.7</v>
      </c>
    </row>
    <row r="1553" spans="2:3" x14ac:dyDescent="0.3">
      <c r="B1553" s="87">
        <v>44013</v>
      </c>
      <c r="C1553">
        <v>10430.049999999999</v>
      </c>
    </row>
    <row r="1554" spans="2:3" x14ac:dyDescent="0.3">
      <c r="B1554" s="87">
        <v>44012</v>
      </c>
      <c r="C1554">
        <v>10302.1</v>
      </c>
    </row>
    <row r="1555" spans="2:3" x14ac:dyDescent="0.3">
      <c r="B1555" s="87">
        <v>44011</v>
      </c>
      <c r="C1555">
        <v>10312.4</v>
      </c>
    </row>
    <row r="1556" spans="2:3" x14ac:dyDescent="0.3">
      <c r="B1556" s="87">
        <v>44008</v>
      </c>
      <c r="C1556">
        <v>10383</v>
      </c>
    </row>
    <row r="1557" spans="2:3" x14ac:dyDescent="0.3">
      <c r="B1557" s="87">
        <v>44007</v>
      </c>
      <c r="C1557">
        <v>10288.9</v>
      </c>
    </row>
    <row r="1558" spans="2:3" x14ac:dyDescent="0.3">
      <c r="B1558" s="87">
        <v>44006</v>
      </c>
      <c r="C1558">
        <v>10305.299999999999</v>
      </c>
    </row>
    <row r="1559" spans="2:3" x14ac:dyDescent="0.3">
      <c r="B1559" s="87">
        <v>44005</v>
      </c>
      <c r="C1559">
        <v>10471</v>
      </c>
    </row>
    <row r="1560" spans="2:3" x14ac:dyDescent="0.3">
      <c r="B1560" s="87">
        <v>44004</v>
      </c>
      <c r="C1560">
        <v>10311.200000000001</v>
      </c>
    </row>
    <row r="1561" spans="2:3" x14ac:dyDescent="0.3">
      <c r="B1561" s="87">
        <v>44001</v>
      </c>
      <c r="C1561">
        <v>10244.4</v>
      </c>
    </row>
    <row r="1562" spans="2:3" x14ac:dyDescent="0.3">
      <c r="B1562" s="87">
        <v>44000</v>
      </c>
      <c r="C1562">
        <v>10091.65</v>
      </c>
    </row>
    <row r="1563" spans="2:3" x14ac:dyDescent="0.3">
      <c r="B1563" s="87">
        <v>43999</v>
      </c>
      <c r="C1563">
        <v>9881.15</v>
      </c>
    </row>
    <row r="1564" spans="2:3" x14ac:dyDescent="0.3">
      <c r="B1564" s="87">
        <v>43998</v>
      </c>
      <c r="C1564">
        <v>9914</v>
      </c>
    </row>
    <row r="1565" spans="2:3" x14ac:dyDescent="0.3">
      <c r="B1565" s="87">
        <v>43997</v>
      </c>
      <c r="C1565">
        <v>9813.7000000000007</v>
      </c>
    </row>
    <row r="1566" spans="2:3" x14ac:dyDescent="0.3">
      <c r="B1566" s="87">
        <v>43994</v>
      </c>
      <c r="C1566">
        <v>9972.9</v>
      </c>
    </row>
    <row r="1567" spans="2:3" x14ac:dyDescent="0.3">
      <c r="B1567" s="87">
        <v>43993</v>
      </c>
      <c r="C1567">
        <v>9902</v>
      </c>
    </row>
    <row r="1568" spans="2:3" x14ac:dyDescent="0.3">
      <c r="B1568" s="87">
        <v>43992</v>
      </c>
      <c r="C1568">
        <v>10116.15</v>
      </c>
    </row>
    <row r="1569" spans="2:3" x14ac:dyDescent="0.3">
      <c r="B1569" s="87">
        <v>43991</v>
      </c>
      <c r="C1569">
        <v>10046.65</v>
      </c>
    </row>
    <row r="1570" spans="2:3" x14ac:dyDescent="0.3">
      <c r="B1570" s="87">
        <v>43990</v>
      </c>
      <c r="C1570">
        <v>10167.450000000001</v>
      </c>
    </row>
    <row r="1571" spans="2:3" x14ac:dyDescent="0.3">
      <c r="B1571" s="87">
        <v>43987</v>
      </c>
      <c r="C1571">
        <v>10142.15</v>
      </c>
    </row>
    <row r="1572" spans="2:3" x14ac:dyDescent="0.3">
      <c r="B1572" s="87">
        <v>43986</v>
      </c>
      <c r="C1572">
        <v>10029.1</v>
      </c>
    </row>
    <row r="1573" spans="2:3" x14ac:dyDescent="0.3">
      <c r="B1573" s="87">
        <v>43985</v>
      </c>
      <c r="C1573">
        <v>10061.549999999999</v>
      </c>
    </row>
    <row r="1574" spans="2:3" x14ac:dyDescent="0.3">
      <c r="B1574" s="87">
        <v>43984</v>
      </c>
      <c r="C1574">
        <v>9979.1</v>
      </c>
    </row>
    <row r="1575" spans="2:3" x14ac:dyDescent="0.3">
      <c r="B1575" s="87">
        <v>43983</v>
      </c>
      <c r="C1575">
        <v>9826.15</v>
      </c>
    </row>
    <row r="1576" spans="2:3" x14ac:dyDescent="0.3">
      <c r="B1576" s="87">
        <v>43980</v>
      </c>
      <c r="C1576">
        <v>9580.2999999999993</v>
      </c>
    </row>
    <row r="1577" spans="2:3" x14ac:dyDescent="0.3">
      <c r="B1577" s="87">
        <v>43979</v>
      </c>
      <c r="C1577">
        <v>9490.1</v>
      </c>
    </row>
    <row r="1578" spans="2:3" x14ac:dyDescent="0.3">
      <c r="B1578" s="87">
        <v>43978</v>
      </c>
      <c r="C1578">
        <v>9314.9500000000007</v>
      </c>
    </row>
    <row r="1579" spans="2:3" x14ac:dyDescent="0.3">
      <c r="B1579" s="87">
        <v>43977</v>
      </c>
      <c r="C1579">
        <v>9029.0499999999993</v>
      </c>
    </row>
    <row r="1580" spans="2:3" x14ac:dyDescent="0.3">
      <c r="B1580" s="87">
        <v>43973</v>
      </c>
      <c r="C1580">
        <v>9039.25</v>
      </c>
    </row>
    <row r="1581" spans="2:3" x14ac:dyDescent="0.3">
      <c r="B1581" s="87">
        <v>43972</v>
      </c>
      <c r="C1581">
        <v>9106.25</v>
      </c>
    </row>
    <row r="1582" spans="2:3" x14ac:dyDescent="0.3">
      <c r="B1582" s="87">
        <v>43971</v>
      </c>
      <c r="C1582">
        <v>9066.5499999999993</v>
      </c>
    </row>
    <row r="1583" spans="2:3" x14ac:dyDescent="0.3">
      <c r="B1583" s="87">
        <v>43970</v>
      </c>
      <c r="C1583">
        <v>8879.1</v>
      </c>
    </row>
    <row r="1584" spans="2:3" x14ac:dyDescent="0.3">
      <c r="B1584" s="87">
        <v>43969</v>
      </c>
      <c r="C1584">
        <v>8823.25</v>
      </c>
    </row>
    <row r="1585" spans="2:3" x14ac:dyDescent="0.3">
      <c r="B1585" s="87">
        <v>43966</v>
      </c>
      <c r="C1585">
        <v>9136.85</v>
      </c>
    </row>
    <row r="1586" spans="2:3" x14ac:dyDescent="0.3">
      <c r="B1586" s="87">
        <v>43965</v>
      </c>
      <c r="C1586">
        <v>9142.75</v>
      </c>
    </row>
    <row r="1587" spans="2:3" x14ac:dyDescent="0.3">
      <c r="B1587" s="87">
        <v>43964</v>
      </c>
      <c r="C1587">
        <v>9383.5499999999993</v>
      </c>
    </row>
    <row r="1588" spans="2:3" x14ac:dyDescent="0.3">
      <c r="B1588" s="87">
        <v>43963</v>
      </c>
      <c r="C1588">
        <v>9196.5499999999993</v>
      </c>
    </row>
    <row r="1589" spans="2:3" x14ac:dyDescent="0.3">
      <c r="B1589" s="87">
        <v>43962</v>
      </c>
      <c r="C1589">
        <v>9239.2000000000007</v>
      </c>
    </row>
    <row r="1590" spans="2:3" x14ac:dyDescent="0.3">
      <c r="B1590" s="87">
        <v>43959</v>
      </c>
      <c r="C1590">
        <v>9251.5</v>
      </c>
    </row>
    <row r="1591" spans="2:3" x14ac:dyDescent="0.3">
      <c r="B1591" s="87">
        <v>43958</v>
      </c>
      <c r="C1591">
        <v>9199.0499999999993</v>
      </c>
    </row>
    <row r="1592" spans="2:3" x14ac:dyDescent="0.3">
      <c r="B1592" s="87">
        <v>43957</v>
      </c>
      <c r="C1592">
        <v>9270.9</v>
      </c>
    </row>
    <row r="1593" spans="2:3" x14ac:dyDescent="0.3">
      <c r="B1593" s="87">
        <v>43956</v>
      </c>
      <c r="C1593">
        <v>9205.6</v>
      </c>
    </row>
    <row r="1594" spans="2:3" x14ac:dyDescent="0.3">
      <c r="B1594" s="87">
        <v>43955</v>
      </c>
      <c r="C1594">
        <v>9293.5</v>
      </c>
    </row>
    <row r="1595" spans="2:3" x14ac:dyDescent="0.3">
      <c r="B1595" s="87">
        <v>43951</v>
      </c>
      <c r="C1595">
        <v>9859.9</v>
      </c>
    </row>
    <row r="1596" spans="2:3" x14ac:dyDescent="0.3">
      <c r="B1596" s="87">
        <v>43950</v>
      </c>
      <c r="C1596">
        <v>9553.35</v>
      </c>
    </row>
    <row r="1597" spans="2:3" x14ac:dyDescent="0.3">
      <c r="B1597" s="87">
        <v>43949</v>
      </c>
      <c r="C1597">
        <v>9380.9</v>
      </c>
    </row>
    <row r="1598" spans="2:3" x14ac:dyDescent="0.3">
      <c r="B1598" s="87">
        <v>43948</v>
      </c>
      <c r="C1598">
        <v>9282.2999999999993</v>
      </c>
    </row>
    <row r="1599" spans="2:3" x14ac:dyDescent="0.3">
      <c r="B1599" s="87">
        <v>43945</v>
      </c>
      <c r="C1599">
        <v>9154.4</v>
      </c>
    </row>
    <row r="1600" spans="2:3" x14ac:dyDescent="0.3">
      <c r="B1600" s="87">
        <v>43944</v>
      </c>
      <c r="C1600">
        <v>9313.9</v>
      </c>
    </row>
    <row r="1601" spans="2:3" x14ac:dyDescent="0.3">
      <c r="B1601" s="87">
        <v>43943</v>
      </c>
      <c r="C1601">
        <v>9187.2999999999993</v>
      </c>
    </row>
    <row r="1602" spans="2:3" x14ac:dyDescent="0.3">
      <c r="B1602" s="87">
        <v>43942</v>
      </c>
      <c r="C1602">
        <v>8981.4500000000007</v>
      </c>
    </row>
    <row r="1603" spans="2:3" x14ac:dyDescent="0.3">
      <c r="B1603" s="87">
        <v>43941</v>
      </c>
      <c r="C1603">
        <v>9261.85</v>
      </c>
    </row>
    <row r="1604" spans="2:3" x14ac:dyDescent="0.3">
      <c r="B1604" s="87">
        <v>43938</v>
      </c>
      <c r="C1604">
        <v>9266.75</v>
      </c>
    </row>
    <row r="1605" spans="2:3" x14ac:dyDescent="0.3">
      <c r="B1605" s="87">
        <v>43937</v>
      </c>
      <c r="C1605">
        <v>8992.7999999999993</v>
      </c>
    </row>
    <row r="1606" spans="2:3" x14ac:dyDescent="0.3">
      <c r="B1606" s="87">
        <v>43936</v>
      </c>
      <c r="C1606">
        <v>8925.2999999999993</v>
      </c>
    </row>
    <row r="1607" spans="2:3" x14ac:dyDescent="0.3">
      <c r="B1607" s="87">
        <v>43934</v>
      </c>
      <c r="C1607">
        <v>8993.85</v>
      </c>
    </row>
    <row r="1608" spans="2:3" x14ac:dyDescent="0.3">
      <c r="B1608" s="87">
        <v>43930</v>
      </c>
      <c r="C1608">
        <v>9111.9</v>
      </c>
    </row>
    <row r="1609" spans="2:3" x14ac:dyDescent="0.3">
      <c r="B1609" s="87">
        <v>43929</v>
      </c>
      <c r="C1609">
        <v>8748.75</v>
      </c>
    </row>
    <row r="1610" spans="2:3" x14ac:dyDescent="0.3">
      <c r="B1610" s="87">
        <v>43928</v>
      </c>
      <c r="C1610">
        <v>8792.2000000000007</v>
      </c>
    </row>
    <row r="1611" spans="2:3" x14ac:dyDescent="0.3">
      <c r="B1611" s="87">
        <v>43924</v>
      </c>
      <c r="C1611">
        <v>8083.8</v>
      </c>
    </row>
    <row r="1612" spans="2:3" x14ac:dyDescent="0.3">
      <c r="B1612" s="87">
        <v>43922</v>
      </c>
      <c r="C1612">
        <v>8253.7999999999993</v>
      </c>
    </row>
    <row r="1613" spans="2:3" x14ac:dyDescent="0.3">
      <c r="B1613" s="87">
        <v>43921</v>
      </c>
      <c r="C1613">
        <v>8597.75</v>
      </c>
    </row>
    <row r="1614" spans="2:3" x14ac:dyDescent="0.3">
      <c r="B1614" s="87">
        <v>43920</v>
      </c>
      <c r="C1614">
        <v>8281.1</v>
      </c>
    </row>
    <row r="1615" spans="2:3" x14ac:dyDescent="0.3">
      <c r="B1615" s="87">
        <v>43917</v>
      </c>
      <c r="C1615">
        <v>8660.25</v>
      </c>
    </row>
    <row r="1616" spans="2:3" x14ac:dyDescent="0.3">
      <c r="B1616" s="87">
        <v>43916</v>
      </c>
      <c r="C1616">
        <v>8641.4500000000007</v>
      </c>
    </row>
    <row r="1617" spans="2:3" x14ac:dyDescent="0.3">
      <c r="B1617" s="87">
        <v>43915</v>
      </c>
      <c r="C1617">
        <v>8317.85</v>
      </c>
    </row>
    <row r="1618" spans="2:3" x14ac:dyDescent="0.3">
      <c r="B1618" s="87">
        <v>43914</v>
      </c>
      <c r="C1618">
        <v>7801.05</v>
      </c>
    </row>
    <row r="1619" spans="2:3" x14ac:dyDescent="0.3">
      <c r="B1619" s="87">
        <v>43913</v>
      </c>
      <c r="C1619">
        <v>7610.25</v>
      </c>
    </row>
    <row r="1620" spans="2:3" x14ac:dyDescent="0.3">
      <c r="B1620" s="87">
        <v>43910</v>
      </c>
      <c r="C1620">
        <v>8745.4500000000007</v>
      </c>
    </row>
    <row r="1621" spans="2:3" x14ac:dyDescent="0.3">
      <c r="B1621" s="87">
        <v>43909</v>
      </c>
      <c r="C1621">
        <v>8263.4500000000007</v>
      </c>
    </row>
    <row r="1622" spans="2:3" x14ac:dyDescent="0.3">
      <c r="B1622" s="87">
        <v>43908</v>
      </c>
      <c r="C1622">
        <v>8468.7999999999993</v>
      </c>
    </row>
    <row r="1623" spans="2:3" x14ac:dyDescent="0.3">
      <c r="B1623" s="87">
        <v>43907</v>
      </c>
      <c r="C1623">
        <v>8967.0499999999993</v>
      </c>
    </row>
    <row r="1624" spans="2:3" x14ac:dyDescent="0.3">
      <c r="B1624" s="87">
        <v>43906</v>
      </c>
      <c r="C1624">
        <v>9197.4</v>
      </c>
    </row>
    <row r="1625" spans="2:3" x14ac:dyDescent="0.3">
      <c r="B1625" s="87">
        <v>43903</v>
      </c>
      <c r="C1625">
        <v>9955.2000000000007</v>
      </c>
    </row>
    <row r="1626" spans="2:3" x14ac:dyDescent="0.3">
      <c r="B1626" s="87">
        <v>43902</v>
      </c>
      <c r="C1626">
        <v>9590.15</v>
      </c>
    </row>
    <row r="1627" spans="2:3" x14ac:dyDescent="0.3">
      <c r="B1627" s="87">
        <v>43901</v>
      </c>
      <c r="C1627">
        <v>10458.4</v>
      </c>
    </row>
    <row r="1628" spans="2:3" x14ac:dyDescent="0.3">
      <c r="B1628" s="87">
        <v>43899</v>
      </c>
      <c r="C1628">
        <v>10451.450000000001</v>
      </c>
    </row>
    <row r="1629" spans="2:3" x14ac:dyDescent="0.3">
      <c r="B1629" s="87">
        <v>43896</v>
      </c>
      <c r="C1629">
        <v>10989.45</v>
      </c>
    </row>
    <row r="1630" spans="2:3" x14ac:dyDescent="0.3">
      <c r="B1630" s="87">
        <v>43895</v>
      </c>
      <c r="C1630">
        <v>11269</v>
      </c>
    </row>
    <row r="1631" spans="2:3" x14ac:dyDescent="0.3">
      <c r="B1631" s="87">
        <v>43894</v>
      </c>
      <c r="C1631">
        <v>11251</v>
      </c>
    </row>
    <row r="1632" spans="2:3" x14ac:dyDescent="0.3">
      <c r="B1632" s="87">
        <v>43893</v>
      </c>
      <c r="C1632">
        <v>11303.3</v>
      </c>
    </row>
    <row r="1633" spans="2:3" x14ac:dyDescent="0.3">
      <c r="B1633" s="87">
        <v>43892</v>
      </c>
      <c r="C1633">
        <v>11132.75</v>
      </c>
    </row>
    <row r="1634" spans="2:3" x14ac:dyDescent="0.3">
      <c r="B1634" s="87">
        <v>43889</v>
      </c>
      <c r="C1634">
        <v>11201.75</v>
      </c>
    </row>
    <row r="1635" spans="2:3" x14ac:dyDescent="0.3">
      <c r="B1635" s="87">
        <v>43888</v>
      </c>
      <c r="C1635">
        <v>11633.3</v>
      </c>
    </row>
    <row r="1636" spans="2:3" x14ac:dyDescent="0.3">
      <c r="B1636" s="87">
        <v>43887</v>
      </c>
      <c r="C1636">
        <v>11678.5</v>
      </c>
    </row>
    <row r="1637" spans="2:3" x14ac:dyDescent="0.3">
      <c r="B1637" s="87">
        <v>43886</v>
      </c>
      <c r="C1637">
        <v>11797.9</v>
      </c>
    </row>
    <row r="1638" spans="2:3" x14ac:dyDescent="0.3">
      <c r="B1638" s="87">
        <v>43885</v>
      </c>
      <c r="C1638">
        <v>11829.4</v>
      </c>
    </row>
    <row r="1639" spans="2:3" x14ac:dyDescent="0.3">
      <c r="B1639" s="87">
        <v>43881</v>
      </c>
      <c r="C1639">
        <v>12080.85</v>
      </c>
    </row>
    <row r="1640" spans="2:3" x14ac:dyDescent="0.3">
      <c r="B1640" s="87">
        <v>43880</v>
      </c>
      <c r="C1640">
        <v>12125.9</v>
      </c>
    </row>
    <row r="1641" spans="2:3" x14ac:dyDescent="0.3">
      <c r="B1641" s="87">
        <v>43879</v>
      </c>
      <c r="C1641">
        <v>11992.5</v>
      </c>
    </row>
    <row r="1642" spans="2:3" x14ac:dyDescent="0.3">
      <c r="B1642" s="87">
        <v>43878</v>
      </c>
      <c r="C1642">
        <v>12045.8</v>
      </c>
    </row>
    <row r="1643" spans="2:3" x14ac:dyDescent="0.3">
      <c r="B1643" s="87">
        <v>43875</v>
      </c>
      <c r="C1643">
        <v>12113.45</v>
      </c>
    </row>
    <row r="1644" spans="2:3" x14ac:dyDescent="0.3">
      <c r="B1644" s="87">
        <v>43874</v>
      </c>
      <c r="C1644">
        <v>12174.65</v>
      </c>
    </row>
    <row r="1645" spans="2:3" x14ac:dyDescent="0.3">
      <c r="B1645" s="87">
        <v>43873</v>
      </c>
      <c r="C1645">
        <v>12201.2</v>
      </c>
    </row>
    <row r="1646" spans="2:3" x14ac:dyDescent="0.3">
      <c r="B1646" s="87">
        <v>43872</v>
      </c>
      <c r="C1646">
        <v>12107.9</v>
      </c>
    </row>
    <row r="1647" spans="2:3" x14ac:dyDescent="0.3">
      <c r="B1647" s="87">
        <v>43871</v>
      </c>
      <c r="C1647">
        <v>12031.5</v>
      </c>
    </row>
    <row r="1648" spans="2:3" x14ac:dyDescent="0.3">
      <c r="B1648" s="87">
        <v>43868</v>
      </c>
      <c r="C1648">
        <v>12098.35</v>
      </c>
    </row>
    <row r="1649" spans="2:3" x14ac:dyDescent="0.3">
      <c r="B1649" s="87">
        <v>43867</v>
      </c>
      <c r="C1649">
        <v>12137.95</v>
      </c>
    </row>
    <row r="1650" spans="2:3" x14ac:dyDescent="0.3">
      <c r="B1650" s="87">
        <v>43866</v>
      </c>
      <c r="C1650">
        <v>12089.15</v>
      </c>
    </row>
    <row r="1651" spans="2:3" x14ac:dyDescent="0.3">
      <c r="B1651" s="87">
        <v>43865</v>
      </c>
      <c r="C1651">
        <v>11979.65</v>
      </c>
    </row>
    <row r="1652" spans="2:3" x14ac:dyDescent="0.3">
      <c r="B1652" s="87">
        <v>43864</v>
      </c>
      <c r="C1652">
        <v>11707.9</v>
      </c>
    </row>
    <row r="1653" spans="2:3" x14ac:dyDescent="0.3">
      <c r="B1653" s="87">
        <v>43862</v>
      </c>
      <c r="C1653">
        <v>11661.85</v>
      </c>
    </row>
    <row r="1654" spans="2:3" x14ac:dyDescent="0.3">
      <c r="B1654" s="87">
        <v>43861</v>
      </c>
      <c r="C1654">
        <v>11962.1</v>
      </c>
    </row>
    <row r="1655" spans="2:3" x14ac:dyDescent="0.3">
      <c r="B1655" s="87">
        <v>43860</v>
      </c>
      <c r="C1655">
        <v>12035.8</v>
      </c>
    </row>
    <row r="1656" spans="2:3" x14ac:dyDescent="0.3">
      <c r="B1656" s="87">
        <v>43859</v>
      </c>
      <c r="C1656">
        <v>12129.5</v>
      </c>
    </row>
    <row r="1657" spans="2:3" x14ac:dyDescent="0.3">
      <c r="B1657" s="87">
        <v>43858</v>
      </c>
      <c r="C1657">
        <v>12055.8</v>
      </c>
    </row>
    <row r="1658" spans="2:3" x14ac:dyDescent="0.3">
      <c r="B1658" s="87">
        <v>43857</v>
      </c>
      <c r="C1658">
        <v>12119</v>
      </c>
    </row>
    <row r="1659" spans="2:3" x14ac:dyDescent="0.3">
      <c r="B1659" s="87">
        <v>43854</v>
      </c>
      <c r="C1659">
        <v>12248.25</v>
      </c>
    </row>
    <row r="1660" spans="2:3" x14ac:dyDescent="0.3">
      <c r="B1660" s="87">
        <v>43853</v>
      </c>
      <c r="C1660">
        <v>12180.35</v>
      </c>
    </row>
    <row r="1661" spans="2:3" x14ac:dyDescent="0.3">
      <c r="B1661" s="87">
        <v>43852</v>
      </c>
      <c r="C1661">
        <v>12106.9</v>
      </c>
    </row>
    <row r="1662" spans="2:3" x14ac:dyDescent="0.3">
      <c r="B1662" s="87">
        <v>43851</v>
      </c>
      <c r="C1662">
        <v>12169.85</v>
      </c>
    </row>
    <row r="1663" spans="2:3" x14ac:dyDescent="0.3">
      <c r="B1663" s="87">
        <v>43850</v>
      </c>
      <c r="C1663">
        <v>12224.55</v>
      </c>
    </row>
    <row r="1664" spans="2:3" x14ac:dyDescent="0.3">
      <c r="B1664" s="87">
        <v>43847</v>
      </c>
      <c r="C1664">
        <v>12352.35</v>
      </c>
    </row>
    <row r="1665" spans="2:3" x14ac:dyDescent="0.3">
      <c r="B1665" s="87">
        <v>43846</v>
      </c>
      <c r="C1665">
        <v>12355.5</v>
      </c>
    </row>
    <row r="1666" spans="2:3" x14ac:dyDescent="0.3">
      <c r="B1666" s="87">
        <v>43845</v>
      </c>
      <c r="C1666">
        <v>12343.3</v>
      </c>
    </row>
    <row r="1667" spans="2:3" x14ac:dyDescent="0.3">
      <c r="B1667" s="87">
        <v>43844</v>
      </c>
      <c r="C1667">
        <v>12362.3</v>
      </c>
    </row>
    <row r="1668" spans="2:3" x14ac:dyDescent="0.3">
      <c r="B1668" s="87">
        <v>43843</v>
      </c>
      <c r="C1668">
        <v>12329.55</v>
      </c>
    </row>
    <row r="1669" spans="2:3" x14ac:dyDescent="0.3">
      <c r="B1669" s="87">
        <v>43840</v>
      </c>
      <c r="C1669">
        <v>12256.8</v>
      </c>
    </row>
    <row r="1670" spans="2:3" x14ac:dyDescent="0.3">
      <c r="B1670" s="87">
        <v>43839</v>
      </c>
      <c r="C1670">
        <v>12215.9</v>
      </c>
    </row>
    <row r="1671" spans="2:3" x14ac:dyDescent="0.3">
      <c r="B1671" s="87">
        <v>43838</v>
      </c>
      <c r="C1671">
        <v>12025.35</v>
      </c>
    </row>
    <row r="1672" spans="2:3" x14ac:dyDescent="0.3">
      <c r="B1672" s="87">
        <v>43837</v>
      </c>
      <c r="C1672">
        <v>12052.95</v>
      </c>
    </row>
    <row r="1673" spans="2:3" x14ac:dyDescent="0.3">
      <c r="B1673" s="87">
        <v>43836</v>
      </c>
      <c r="C1673">
        <v>11993.05</v>
      </c>
    </row>
    <row r="1674" spans="2:3" x14ac:dyDescent="0.3">
      <c r="B1674" s="87">
        <v>43833</v>
      </c>
      <c r="C1674">
        <v>12226.65</v>
      </c>
    </row>
    <row r="1675" spans="2:3" x14ac:dyDescent="0.3">
      <c r="B1675" s="87">
        <v>43832</v>
      </c>
      <c r="C1675">
        <v>12282.2</v>
      </c>
    </row>
    <row r="1676" spans="2:3" x14ac:dyDescent="0.3">
      <c r="B1676" s="87">
        <v>43831</v>
      </c>
      <c r="C1676">
        <v>12182.5</v>
      </c>
    </row>
    <row r="1677" spans="2:3" x14ac:dyDescent="0.3">
      <c r="B1677" s="87">
        <v>43830</v>
      </c>
      <c r="C1677">
        <v>12168.45</v>
      </c>
    </row>
    <row r="1678" spans="2:3" x14ac:dyDescent="0.3">
      <c r="B1678" s="87">
        <v>43829</v>
      </c>
      <c r="C1678">
        <v>12255.85</v>
      </c>
    </row>
    <row r="1679" spans="2:3" x14ac:dyDescent="0.3">
      <c r="B1679" s="87">
        <v>43826</v>
      </c>
      <c r="C1679">
        <v>12245.8</v>
      </c>
    </row>
    <row r="1680" spans="2:3" x14ac:dyDescent="0.3">
      <c r="B1680" s="87">
        <v>43825</v>
      </c>
      <c r="C1680">
        <v>12126.55</v>
      </c>
    </row>
    <row r="1681" spans="2:3" x14ac:dyDescent="0.3">
      <c r="B1681" s="87">
        <v>43823</v>
      </c>
      <c r="C1681">
        <v>12214.55</v>
      </c>
    </row>
    <row r="1682" spans="2:3" x14ac:dyDescent="0.3">
      <c r="B1682" s="87">
        <v>43822</v>
      </c>
      <c r="C1682">
        <v>12262.75</v>
      </c>
    </row>
    <row r="1683" spans="2:3" x14ac:dyDescent="0.3">
      <c r="B1683" s="87">
        <v>43819</v>
      </c>
      <c r="C1683">
        <v>12271.8</v>
      </c>
    </row>
    <row r="1684" spans="2:3" x14ac:dyDescent="0.3">
      <c r="B1684" s="87">
        <v>43818</v>
      </c>
      <c r="C1684">
        <v>12259.7</v>
      </c>
    </row>
    <row r="1685" spans="2:3" x14ac:dyDescent="0.3">
      <c r="B1685" s="87">
        <v>43817</v>
      </c>
      <c r="C1685">
        <v>12221.65</v>
      </c>
    </row>
    <row r="1686" spans="2:3" x14ac:dyDescent="0.3">
      <c r="B1686" s="87">
        <v>43816</v>
      </c>
      <c r="C1686">
        <v>12165</v>
      </c>
    </row>
    <row r="1687" spans="2:3" x14ac:dyDescent="0.3">
      <c r="B1687" s="87">
        <v>43815</v>
      </c>
      <c r="C1687">
        <v>12053.95</v>
      </c>
    </row>
    <row r="1688" spans="2:3" x14ac:dyDescent="0.3">
      <c r="B1688" s="87">
        <v>43812</v>
      </c>
      <c r="C1688">
        <v>12086.7</v>
      </c>
    </row>
    <row r="1689" spans="2:3" x14ac:dyDescent="0.3">
      <c r="B1689" s="87">
        <v>43811</v>
      </c>
      <c r="C1689">
        <v>11971.8</v>
      </c>
    </row>
    <row r="1690" spans="2:3" x14ac:dyDescent="0.3">
      <c r="B1690" s="87">
        <v>43810</v>
      </c>
      <c r="C1690">
        <v>11910.15</v>
      </c>
    </row>
    <row r="1691" spans="2:3" x14ac:dyDescent="0.3">
      <c r="B1691" s="87">
        <v>43809</v>
      </c>
      <c r="C1691">
        <v>11856.8</v>
      </c>
    </row>
    <row r="1692" spans="2:3" x14ac:dyDescent="0.3">
      <c r="B1692" s="87">
        <v>43808</v>
      </c>
      <c r="C1692">
        <v>11937.5</v>
      </c>
    </row>
    <row r="1693" spans="2:3" x14ac:dyDescent="0.3">
      <c r="B1693" s="87">
        <v>43805</v>
      </c>
      <c r="C1693">
        <v>11921.5</v>
      </c>
    </row>
    <row r="1694" spans="2:3" x14ac:dyDescent="0.3">
      <c r="B1694" s="87">
        <v>43804</v>
      </c>
      <c r="C1694">
        <v>12018.4</v>
      </c>
    </row>
    <row r="1695" spans="2:3" x14ac:dyDescent="0.3">
      <c r="B1695" s="87">
        <v>43803</v>
      </c>
      <c r="C1695">
        <v>12043.2</v>
      </c>
    </row>
    <row r="1696" spans="2:3" x14ac:dyDescent="0.3">
      <c r="B1696" s="87">
        <v>43802</v>
      </c>
      <c r="C1696">
        <v>11994.2</v>
      </c>
    </row>
    <row r="1697" spans="2:3" x14ac:dyDescent="0.3">
      <c r="B1697" s="87">
        <v>43801</v>
      </c>
      <c r="C1697">
        <v>12048.2</v>
      </c>
    </row>
    <row r="1698" spans="2:3" x14ac:dyDescent="0.3">
      <c r="B1698" s="87">
        <v>43798</v>
      </c>
      <c r="C1698">
        <v>12056.05</v>
      </c>
    </row>
    <row r="1699" spans="2:3" x14ac:dyDescent="0.3">
      <c r="B1699" s="87">
        <v>43797</v>
      </c>
      <c r="C1699">
        <v>12151.15</v>
      </c>
    </row>
    <row r="1700" spans="2:3" x14ac:dyDescent="0.3">
      <c r="B1700" s="87">
        <v>43796</v>
      </c>
      <c r="C1700">
        <v>12100.7</v>
      </c>
    </row>
    <row r="1701" spans="2:3" x14ac:dyDescent="0.3">
      <c r="B1701" s="87">
        <v>43795</v>
      </c>
      <c r="C1701">
        <v>12037.7</v>
      </c>
    </row>
    <row r="1702" spans="2:3" x14ac:dyDescent="0.3">
      <c r="B1702" s="87">
        <v>43794</v>
      </c>
      <c r="C1702">
        <v>12073.75</v>
      </c>
    </row>
    <row r="1703" spans="2:3" x14ac:dyDescent="0.3">
      <c r="B1703" s="87">
        <v>43791</v>
      </c>
      <c r="C1703">
        <v>11914.4</v>
      </c>
    </row>
    <row r="1704" spans="2:3" x14ac:dyDescent="0.3">
      <c r="B1704" s="87">
        <v>43790</v>
      </c>
      <c r="C1704">
        <v>11968.4</v>
      </c>
    </row>
    <row r="1705" spans="2:3" x14ac:dyDescent="0.3">
      <c r="B1705" s="87">
        <v>43789</v>
      </c>
      <c r="C1705">
        <v>11999.1</v>
      </c>
    </row>
    <row r="1706" spans="2:3" x14ac:dyDescent="0.3">
      <c r="B1706" s="87">
        <v>43788</v>
      </c>
      <c r="C1706">
        <v>11940.1</v>
      </c>
    </row>
    <row r="1707" spans="2:3" x14ac:dyDescent="0.3">
      <c r="B1707" s="87">
        <v>43787</v>
      </c>
      <c r="C1707">
        <v>11884.5</v>
      </c>
    </row>
    <row r="1708" spans="2:3" x14ac:dyDescent="0.3">
      <c r="B1708" s="87">
        <v>43784</v>
      </c>
      <c r="C1708">
        <v>11895.45</v>
      </c>
    </row>
    <row r="1709" spans="2:3" x14ac:dyDescent="0.3">
      <c r="B1709" s="87">
        <v>43783</v>
      </c>
      <c r="C1709">
        <v>11872.1</v>
      </c>
    </row>
    <row r="1710" spans="2:3" x14ac:dyDescent="0.3">
      <c r="B1710" s="87">
        <v>43782</v>
      </c>
      <c r="C1710">
        <v>11840.45</v>
      </c>
    </row>
    <row r="1711" spans="2:3" x14ac:dyDescent="0.3">
      <c r="B1711" s="87">
        <v>43780</v>
      </c>
      <c r="C1711">
        <v>11913.45</v>
      </c>
    </row>
    <row r="1712" spans="2:3" x14ac:dyDescent="0.3">
      <c r="B1712" s="87">
        <v>43777</v>
      </c>
      <c r="C1712">
        <v>11908.15</v>
      </c>
    </row>
    <row r="1713" spans="2:3" x14ac:dyDescent="0.3">
      <c r="B1713" s="87">
        <v>43776</v>
      </c>
      <c r="C1713">
        <v>12012.05</v>
      </c>
    </row>
    <row r="1714" spans="2:3" x14ac:dyDescent="0.3">
      <c r="B1714" s="87">
        <v>43775</v>
      </c>
      <c r="C1714">
        <v>11966.05</v>
      </c>
    </row>
    <row r="1715" spans="2:3" x14ac:dyDescent="0.3">
      <c r="B1715" s="87">
        <v>43774</v>
      </c>
      <c r="C1715">
        <v>11917.2</v>
      </c>
    </row>
    <row r="1716" spans="2:3" x14ac:dyDescent="0.3">
      <c r="B1716" s="87">
        <v>43773</v>
      </c>
      <c r="C1716">
        <v>11941.3</v>
      </c>
    </row>
    <row r="1717" spans="2:3" x14ac:dyDescent="0.3">
      <c r="B1717" s="87">
        <v>43770</v>
      </c>
      <c r="C1717">
        <v>11890.6</v>
      </c>
    </row>
    <row r="1718" spans="2:3" x14ac:dyDescent="0.3">
      <c r="B1718" s="87">
        <v>43769</v>
      </c>
      <c r="C1718">
        <v>11877.45</v>
      </c>
    </row>
    <row r="1719" spans="2:3" x14ac:dyDescent="0.3">
      <c r="B1719" s="87">
        <v>43768</v>
      </c>
      <c r="C1719">
        <v>11844.1</v>
      </c>
    </row>
    <row r="1720" spans="2:3" x14ac:dyDescent="0.3">
      <c r="B1720" s="87">
        <v>43767</v>
      </c>
      <c r="C1720">
        <v>11786.85</v>
      </c>
    </row>
    <row r="1721" spans="2:3" x14ac:dyDescent="0.3">
      <c r="B1721" s="87">
        <v>43765</v>
      </c>
      <c r="C1721">
        <v>11627.15</v>
      </c>
    </row>
    <row r="1722" spans="2:3" x14ac:dyDescent="0.3">
      <c r="B1722" s="87">
        <v>43763</v>
      </c>
      <c r="C1722">
        <v>11583.9</v>
      </c>
    </row>
    <row r="1723" spans="2:3" x14ac:dyDescent="0.3">
      <c r="B1723" s="87">
        <v>43762</v>
      </c>
      <c r="C1723">
        <v>11582.6</v>
      </c>
    </row>
    <row r="1724" spans="2:3" x14ac:dyDescent="0.3">
      <c r="B1724" s="87">
        <v>43761</v>
      </c>
      <c r="C1724">
        <v>11604.1</v>
      </c>
    </row>
    <row r="1725" spans="2:3" x14ac:dyDescent="0.3">
      <c r="B1725" s="87">
        <v>43760</v>
      </c>
      <c r="C1725">
        <v>11588.35</v>
      </c>
    </row>
    <row r="1726" spans="2:3" x14ac:dyDescent="0.3">
      <c r="B1726" s="87">
        <v>43756</v>
      </c>
      <c r="C1726">
        <v>11661.85</v>
      </c>
    </row>
    <row r="1727" spans="2:3" x14ac:dyDescent="0.3">
      <c r="B1727" s="87">
        <v>43755</v>
      </c>
      <c r="C1727">
        <v>11586.35</v>
      </c>
    </row>
    <row r="1728" spans="2:3" x14ac:dyDescent="0.3">
      <c r="B1728" s="87">
        <v>43754</v>
      </c>
      <c r="C1728">
        <v>11464</v>
      </c>
    </row>
    <row r="1729" spans="2:3" x14ac:dyDescent="0.3">
      <c r="B1729" s="87">
        <v>43753</v>
      </c>
      <c r="C1729">
        <v>11428.3</v>
      </c>
    </row>
    <row r="1730" spans="2:3" x14ac:dyDescent="0.3">
      <c r="B1730" s="87">
        <v>43752</v>
      </c>
      <c r="C1730">
        <v>11341.15</v>
      </c>
    </row>
    <row r="1731" spans="2:3" x14ac:dyDescent="0.3">
      <c r="B1731" s="87">
        <v>43749</v>
      </c>
      <c r="C1731">
        <v>11305.05</v>
      </c>
    </row>
    <row r="1732" spans="2:3" x14ac:dyDescent="0.3">
      <c r="B1732" s="87">
        <v>43748</v>
      </c>
      <c r="C1732">
        <v>11234.55</v>
      </c>
    </row>
    <row r="1733" spans="2:3" x14ac:dyDescent="0.3">
      <c r="B1733" s="87">
        <v>43747</v>
      </c>
      <c r="C1733">
        <v>11313.3</v>
      </c>
    </row>
    <row r="1734" spans="2:3" x14ac:dyDescent="0.3">
      <c r="B1734" s="87">
        <v>43745</v>
      </c>
      <c r="C1734">
        <v>11126.4</v>
      </c>
    </row>
    <row r="1735" spans="2:3" x14ac:dyDescent="0.3">
      <c r="B1735" s="87">
        <v>43742</v>
      </c>
      <c r="C1735">
        <v>11174.75</v>
      </c>
    </row>
    <row r="1736" spans="2:3" x14ac:dyDescent="0.3">
      <c r="B1736" s="87">
        <v>43741</v>
      </c>
      <c r="C1736">
        <v>11314</v>
      </c>
    </row>
    <row r="1737" spans="2:3" x14ac:dyDescent="0.3">
      <c r="B1737" s="87">
        <v>43739</v>
      </c>
      <c r="C1737">
        <v>11359.9</v>
      </c>
    </row>
    <row r="1738" spans="2:3" x14ac:dyDescent="0.3">
      <c r="B1738" s="87">
        <v>43738</v>
      </c>
      <c r="C1738">
        <v>11474.45</v>
      </c>
    </row>
    <row r="1739" spans="2:3" x14ac:dyDescent="0.3">
      <c r="B1739" s="87">
        <v>43735</v>
      </c>
      <c r="C1739">
        <v>11512.4</v>
      </c>
    </row>
    <row r="1740" spans="2:3" x14ac:dyDescent="0.3">
      <c r="B1740" s="87">
        <v>43734</v>
      </c>
      <c r="C1740">
        <v>11571.2</v>
      </c>
    </row>
    <row r="1741" spans="2:3" x14ac:dyDescent="0.3">
      <c r="B1741" s="87">
        <v>43733</v>
      </c>
      <c r="C1741">
        <v>11440.2</v>
      </c>
    </row>
    <row r="1742" spans="2:3" x14ac:dyDescent="0.3">
      <c r="B1742" s="87">
        <v>43732</v>
      </c>
      <c r="C1742">
        <v>11588.2</v>
      </c>
    </row>
    <row r="1743" spans="2:3" x14ac:dyDescent="0.3">
      <c r="B1743" s="87">
        <v>43731</v>
      </c>
      <c r="C1743">
        <v>11600.2</v>
      </c>
    </row>
    <row r="1744" spans="2:3" x14ac:dyDescent="0.3">
      <c r="B1744" s="87">
        <v>43728</v>
      </c>
      <c r="C1744">
        <v>11274.2</v>
      </c>
    </row>
    <row r="1745" spans="2:3" x14ac:dyDescent="0.3">
      <c r="B1745" s="87">
        <v>43727</v>
      </c>
      <c r="C1745">
        <v>10704.8</v>
      </c>
    </row>
    <row r="1746" spans="2:3" x14ac:dyDescent="0.3">
      <c r="B1746" s="87">
        <v>43726</v>
      </c>
      <c r="C1746">
        <v>10840.65</v>
      </c>
    </row>
    <row r="1747" spans="2:3" x14ac:dyDescent="0.3">
      <c r="B1747" s="87">
        <v>43725</v>
      </c>
      <c r="C1747">
        <v>10817.6</v>
      </c>
    </row>
    <row r="1748" spans="2:3" x14ac:dyDescent="0.3">
      <c r="B1748" s="87">
        <v>43724</v>
      </c>
      <c r="C1748">
        <v>11003.5</v>
      </c>
    </row>
    <row r="1749" spans="2:3" x14ac:dyDescent="0.3">
      <c r="B1749" s="87">
        <v>43721</v>
      </c>
      <c r="C1749">
        <v>11075.9</v>
      </c>
    </row>
    <row r="1750" spans="2:3" x14ac:dyDescent="0.3">
      <c r="B1750" s="87">
        <v>43720</v>
      </c>
      <c r="C1750">
        <v>10982.8</v>
      </c>
    </row>
    <row r="1751" spans="2:3" x14ac:dyDescent="0.3">
      <c r="B1751" s="87">
        <v>43719</v>
      </c>
      <c r="C1751">
        <v>11035.7</v>
      </c>
    </row>
    <row r="1752" spans="2:3" x14ac:dyDescent="0.3">
      <c r="B1752" s="87">
        <v>43717</v>
      </c>
      <c r="C1752">
        <v>11003.05</v>
      </c>
    </row>
    <row r="1753" spans="2:3" x14ac:dyDescent="0.3">
      <c r="B1753" s="87">
        <v>43714</v>
      </c>
      <c r="C1753">
        <v>10946.2</v>
      </c>
    </row>
    <row r="1754" spans="2:3" x14ac:dyDescent="0.3">
      <c r="B1754" s="87">
        <v>43713</v>
      </c>
      <c r="C1754">
        <v>10847.9</v>
      </c>
    </row>
    <row r="1755" spans="2:3" x14ac:dyDescent="0.3">
      <c r="B1755" s="87">
        <v>43712</v>
      </c>
      <c r="C1755">
        <v>10844.65</v>
      </c>
    </row>
    <row r="1756" spans="2:3" x14ac:dyDescent="0.3">
      <c r="B1756" s="87">
        <v>43711</v>
      </c>
      <c r="C1756">
        <v>10797.9</v>
      </c>
    </row>
    <row r="1757" spans="2:3" x14ac:dyDescent="0.3">
      <c r="B1757" s="87">
        <v>43707</v>
      </c>
      <c r="C1757">
        <v>11023.25</v>
      </c>
    </row>
    <row r="1758" spans="2:3" x14ac:dyDescent="0.3">
      <c r="B1758" s="87">
        <v>43706</v>
      </c>
      <c r="C1758">
        <v>10948.3</v>
      </c>
    </row>
    <row r="1759" spans="2:3" x14ac:dyDescent="0.3">
      <c r="B1759" s="87">
        <v>43705</v>
      </c>
      <c r="C1759">
        <v>11046.1</v>
      </c>
    </row>
    <row r="1760" spans="2:3" x14ac:dyDescent="0.3">
      <c r="B1760" s="87">
        <v>43704</v>
      </c>
      <c r="C1760">
        <v>11105.35</v>
      </c>
    </row>
    <row r="1761" spans="2:3" x14ac:dyDescent="0.3">
      <c r="B1761" s="87">
        <v>43703</v>
      </c>
      <c r="C1761">
        <v>11057.85</v>
      </c>
    </row>
    <row r="1762" spans="2:3" x14ac:dyDescent="0.3">
      <c r="B1762" s="87">
        <v>43700</v>
      </c>
      <c r="C1762">
        <v>10829.35</v>
      </c>
    </row>
    <row r="1763" spans="2:3" x14ac:dyDescent="0.3">
      <c r="B1763" s="87">
        <v>43699</v>
      </c>
      <c r="C1763">
        <v>10741.35</v>
      </c>
    </row>
    <row r="1764" spans="2:3" x14ac:dyDescent="0.3">
      <c r="B1764" s="87">
        <v>43698</v>
      </c>
      <c r="C1764">
        <v>10918.7</v>
      </c>
    </row>
    <row r="1765" spans="2:3" x14ac:dyDescent="0.3">
      <c r="B1765" s="87">
        <v>43697</v>
      </c>
      <c r="C1765">
        <v>11017</v>
      </c>
    </row>
    <row r="1766" spans="2:3" x14ac:dyDescent="0.3">
      <c r="B1766" s="87">
        <v>43696</v>
      </c>
      <c r="C1766">
        <v>11053.9</v>
      </c>
    </row>
    <row r="1767" spans="2:3" x14ac:dyDescent="0.3">
      <c r="B1767" s="87">
        <v>43693</v>
      </c>
      <c r="C1767">
        <v>11047.8</v>
      </c>
    </row>
    <row r="1768" spans="2:3" x14ac:dyDescent="0.3">
      <c r="B1768" s="87">
        <v>43691</v>
      </c>
      <c r="C1768">
        <v>11029.4</v>
      </c>
    </row>
    <row r="1769" spans="2:3" x14ac:dyDescent="0.3">
      <c r="B1769" s="87">
        <v>43690</v>
      </c>
      <c r="C1769">
        <v>10925.85</v>
      </c>
    </row>
    <row r="1770" spans="2:3" x14ac:dyDescent="0.3">
      <c r="B1770" s="87">
        <v>43686</v>
      </c>
      <c r="C1770">
        <v>11109.65</v>
      </c>
    </row>
    <row r="1771" spans="2:3" x14ac:dyDescent="0.3">
      <c r="B1771" s="87">
        <v>43685</v>
      </c>
      <c r="C1771">
        <v>11032.45</v>
      </c>
    </row>
    <row r="1772" spans="2:3" x14ac:dyDescent="0.3">
      <c r="B1772" s="87">
        <v>43684</v>
      </c>
      <c r="C1772">
        <v>10855.5</v>
      </c>
    </row>
    <row r="1773" spans="2:3" x14ac:dyDescent="0.3">
      <c r="B1773" s="87">
        <v>43683</v>
      </c>
      <c r="C1773">
        <v>10948.25</v>
      </c>
    </row>
    <row r="1774" spans="2:3" x14ac:dyDescent="0.3">
      <c r="B1774" s="87">
        <v>43682</v>
      </c>
      <c r="C1774">
        <v>10862.6</v>
      </c>
    </row>
    <row r="1775" spans="2:3" x14ac:dyDescent="0.3">
      <c r="B1775" s="87">
        <v>43679</v>
      </c>
      <c r="C1775">
        <v>10997.35</v>
      </c>
    </row>
    <row r="1776" spans="2:3" x14ac:dyDescent="0.3">
      <c r="B1776" s="87">
        <v>43678</v>
      </c>
      <c r="C1776">
        <v>10980</v>
      </c>
    </row>
    <row r="1777" spans="2:3" x14ac:dyDescent="0.3">
      <c r="B1777" s="87">
        <v>43677</v>
      </c>
      <c r="C1777">
        <v>11118</v>
      </c>
    </row>
    <row r="1778" spans="2:3" x14ac:dyDescent="0.3">
      <c r="B1778" s="87">
        <v>43676</v>
      </c>
      <c r="C1778">
        <v>11085.4</v>
      </c>
    </row>
    <row r="1779" spans="2:3" x14ac:dyDescent="0.3">
      <c r="B1779" s="87">
        <v>43675</v>
      </c>
      <c r="C1779">
        <v>11189.2</v>
      </c>
    </row>
    <row r="1780" spans="2:3" x14ac:dyDescent="0.3">
      <c r="B1780" s="87">
        <v>43672</v>
      </c>
      <c r="C1780">
        <v>11284.3</v>
      </c>
    </row>
    <row r="1781" spans="2:3" x14ac:dyDescent="0.3">
      <c r="B1781" s="87">
        <v>43671</v>
      </c>
      <c r="C1781">
        <v>11252.15</v>
      </c>
    </row>
    <row r="1782" spans="2:3" x14ac:dyDescent="0.3">
      <c r="B1782" s="87">
        <v>43670</v>
      </c>
      <c r="C1782">
        <v>11271.3</v>
      </c>
    </row>
    <row r="1783" spans="2:3" x14ac:dyDescent="0.3">
      <c r="B1783" s="87">
        <v>43669</v>
      </c>
      <c r="C1783">
        <v>11331.05</v>
      </c>
    </row>
    <row r="1784" spans="2:3" x14ac:dyDescent="0.3">
      <c r="B1784" s="87">
        <v>43668</v>
      </c>
      <c r="C1784">
        <v>11346.2</v>
      </c>
    </row>
    <row r="1785" spans="2:3" x14ac:dyDescent="0.3">
      <c r="B1785" s="87">
        <v>43665</v>
      </c>
      <c r="C1785">
        <v>11419.25</v>
      </c>
    </row>
    <row r="1786" spans="2:3" x14ac:dyDescent="0.3">
      <c r="B1786" s="87">
        <v>43664</v>
      </c>
      <c r="C1786">
        <v>11596.9</v>
      </c>
    </row>
    <row r="1787" spans="2:3" x14ac:dyDescent="0.3">
      <c r="B1787" s="87">
        <v>43663</v>
      </c>
      <c r="C1787">
        <v>11687.5</v>
      </c>
    </row>
    <row r="1788" spans="2:3" x14ac:dyDescent="0.3">
      <c r="B1788" s="87">
        <v>43662</v>
      </c>
      <c r="C1788">
        <v>11662.6</v>
      </c>
    </row>
    <row r="1789" spans="2:3" x14ac:dyDescent="0.3">
      <c r="B1789" s="87">
        <v>43661</v>
      </c>
      <c r="C1789">
        <v>11588.35</v>
      </c>
    </row>
    <row r="1790" spans="2:3" x14ac:dyDescent="0.3">
      <c r="B1790" s="87">
        <v>43658</v>
      </c>
      <c r="C1790">
        <v>11552.5</v>
      </c>
    </row>
    <row r="1791" spans="2:3" x14ac:dyDescent="0.3">
      <c r="B1791" s="87">
        <v>43657</v>
      </c>
      <c r="C1791">
        <v>11582.9</v>
      </c>
    </row>
    <row r="1792" spans="2:3" x14ac:dyDescent="0.3">
      <c r="B1792" s="87">
        <v>43656</v>
      </c>
      <c r="C1792">
        <v>11498.9</v>
      </c>
    </row>
    <row r="1793" spans="2:3" x14ac:dyDescent="0.3">
      <c r="B1793" s="87">
        <v>43655</v>
      </c>
      <c r="C1793">
        <v>11555.9</v>
      </c>
    </row>
    <row r="1794" spans="2:3" x14ac:dyDescent="0.3">
      <c r="B1794" s="87">
        <v>43654</v>
      </c>
      <c r="C1794">
        <v>11558.6</v>
      </c>
    </row>
    <row r="1795" spans="2:3" x14ac:dyDescent="0.3">
      <c r="B1795" s="87">
        <v>43651</v>
      </c>
      <c r="C1795">
        <v>11811.15</v>
      </c>
    </row>
    <row r="1796" spans="2:3" x14ac:dyDescent="0.3">
      <c r="B1796" s="87">
        <v>43650</v>
      </c>
      <c r="C1796">
        <v>11946.75</v>
      </c>
    </row>
    <row r="1797" spans="2:3" x14ac:dyDescent="0.3">
      <c r="B1797" s="87">
        <v>43649</v>
      </c>
      <c r="C1797">
        <v>11916.75</v>
      </c>
    </row>
    <row r="1798" spans="2:3" x14ac:dyDescent="0.3">
      <c r="B1798" s="87">
        <v>43648</v>
      </c>
      <c r="C1798">
        <v>11910.3</v>
      </c>
    </row>
    <row r="1799" spans="2:3" x14ac:dyDescent="0.3">
      <c r="B1799" s="87">
        <v>43647</v>
      </c>
      <c r="C1799">
        <v>11865.6</v>
      </c>
    </row>
    <row r="1800" spans="2:3" x14ac:dyDescent="0.3">
      <c r="B1800" s="87">
        <v>43644</v>
      </c>
      <c r="C1800">
        <v>11788.85</v>
      </c>
    </row>
    <row r="1801" spans="2:3" x14ac:dyDescent="0.3">
      <c r="B1801" s="87">
        <v>43643</v>
      </c>
      <c r="C1801">
        <v>11841.55</v>
      </c>
    </row>
    <row r="1802" spans="2:3" x14ac:dyDescent="0.3">
      <c r="B1802" s="87">
        <v>43642</v>
      </c>
      <c r="C1802">
        <v>11847.55</v>
      </c>
    </row>
    <row r="1803" spans="2:3" x14ac:dyDescent="0.3">
      <c r="B1803" s="87">
        <v>43641</v>
      </c>
      <c r="C1803">
        <v>11796.45</v>
      </c>
    </row>
    <row r="1804" spans="2:3" x14ac:dyDescent="0.3">
      <c r="B1804" s="87">
        <v>43640</v>
      </c>
      <c r="C1804">
        <v>11699.65</v>
      </c>
    </row>
    <row r="1805" spans="2:3" x14ac:dyDescent="0.3">
      <c r="B1805" s="87">
        <v>43637</v>
      </c>
      <c r="C1805">
        <v>11724.1</v>
      </c>
    </row>
    <row r="1806" spans="2:3" x14ac:dyDescent="0.3">
      <c r="B1806" s="87">
        <v>43636</v>
      </c>
      <c r="C1806">
        <v>11831.75</v>
      </c>
    </row>
    <row r="1807" spans="2:3" x14ac:dyDescent="0.3">
      <c r="B1807" s="87">
        <v>43635</v>
      </c>
      <c r="C1807">
        <v>11691.45</v>
      </c>
    </row>
    <row r="1808" spans="2:3" x14ac:dyDescent="0.3">
      <c r="B1808" s="87">
        <v>43634</v>
      </c>
      <c r="C1808">
        <v>11691.5</v>
      </c>
    </row>
    <row r="1809" spans="2:3" x14ac:dyDescent="0.3">
      <c r="B1809" s="87">
        <v>43633</v>
      </c>
      <c r="C1809">
        <v>11672.15</v>
      </c>
    </row>
    <row r="1810" spans="2:3" x14ac:dyDescent="0.3">
      <c r="B1810" s="87">
        <v>43630</v>
      </c>
      <c r="C1810">
        <v>11823.3</v>
      </c>
    </row>
    <row r="1811" spans="2:3" x14ac:dyDescent="0.3">
      <c r="B1811" s="87">
        <v>43629</v>
      </c>
      <c r="C1811">
        <v>11914.05</v>
      </c>
    </row>
    <row r="1812" spans="2:3" x14ac:dyDescent="0.3">
      <c r="B1812" s="87">
        <v>43628</v>
      </c>
      <c r="C1812">
        <v>11906.2</v>
      </c>
    </row>
    <row r="1813" spans="2:3" x14ac:dyDescent="0.3">
      <c r="B1813" s="87">
        <v>43627</v>
      </c>
      <c r="C1813">
        <v>11965.6</v>
      </c>
    </row>
    <row r="1814" spans="2:3" x14ac:dyDescent="0.3">
      <c r="B1814" s="87">
        <v>43626</v>
      </c>
      <c r="C1814">
        <v>11922.7</v>
      </c>
    </row>
    <row r="1815" spans="2:3" x14ac:dyDescent="0.3">
      <c r="B1815" s="87">
        <v>43623</v>
      </c>
      <c r="C1815">
        <v>11870.65</v>
      </c>
    </row>
    <row r="1816" spans="2:3" x14ac:dyDescent="0.3">
      <c r="B1816" s="87">
        <v>43622</v>
      </c>
      <c r="C1816">
        <v>11843.75</v>
      </c>
    </row>
    <row r="1817" spans="2:3" x14ac:dyDescent="0.3">
      <c r="B1817" s="87">
        <v>43620</v>
      </c>
      <c r="C1817">
        <v>12021.65</v>
      </c>
    </row>
    <row r="1818" spans="2:3" x14ac:dyDescent="0.3">
      <c r="B1818" s="87">
        <v>43619</v>
      </c>
      <c r="C1818">
        <v>12088.55</v>
      </c>
    </row>
    <row r="1819" spans="2:3" x14ac:dyDescent="0.3">
      <c r="B1819" s="87">
        <v>43616</v>
      </c>
      <c r="C1819">
        <v>11922.8</v>
      </c>
    </row>
    <row r="1820" spans="2:3" x14ac:dyDescent="0.3">
      <c r="B1820" s="87">
        <v>43615</v>
      </c>
      <c r="C1820">
        <v>11945.9</v>
      </c>
    </row>
    <row r="1821" spans="2:3" x14ac:dyDescent="0.3">
      <c r="B1821" s="87">
        <v>43614</v>
      </c>
      <c r="C1821">
        <v>11861.1</v>
      </c>
    </row>
    <row r="1822" spans="2:3" x14ac:dyDescent="0.3">
      <c r="B1822" s="87">
        <v>43613</v>
      </c>
      <c r="C1822">
        <v>11928.75</v>
      </c>
    </row>
    <row r="1823" spans="2:3" x14ac:dyDescent="0.3">
      <c r="B1823" s="87">
        <v>43612</v>
      </c>
      <c r="C1823">
        <v>11924.75</v>
      </c>
    </row>
    <row r="1824" spans="2:3" x14ac:dyDescent="0.3">
      <c r="B1824" s="87">
        <v>43609</v>
      </c>
      <c r="C1824">
        <v>11844.1</v>
      </c>
    </row>
    <row r="1825" spans="2:3" x14ac:dyDescent="0.3">
      <c r="B1825" s="87">
        <v>43608</v>
      </c>
      <c r="C1825">
        <v>11657.05</v>
      </c>
    </row>
    <row r="1826" spans="2:3" x14ac:dyDescent="0.3">
      <c r="B1826" s="87">
        <v>43607</v>
      </c>
      <c r="C1826">
        <v>11737.9</v>
      </c>
    </row>
    <row r="1827" spans="2:3" x14ac:dyDescent="0.3">
      <c r="B1827" s="87">
        <v>43606</v>
      </c>
      <c r="C1827">
        <v>11709.1</v>
      </c>
    </row>
    <row r="1828" spans="2:3" x14ac:dyDescent="0.3">
      <c r="B1828" s="87">
        <v>43605</v>
      </c>
      <c r="C1828">
        <v>11828.25</v>
      </c>
    </row>
    <row r="1829" spans="2:3" x14ac:dyDescent="0.3">
      <c r="B1829" s="87">
        <v>43602</v>
      </c>
      <c r="C1829">
        <v>11407.15</v>
      </c>
    </row>
    <row r="1830" spans="2:3" x14ac:dyDescent="0.3">
      <c r="B1830" s="87">
        <v>43601</v>
      </c>
      <c r="C1830">
        <v>11257.1</v>
      </c>
    </row>
    <row r="1831" spans="2:3" x14ac:dyDescent="0.3">
      <c r="B1831" s="87">
        <v>43600</v>
      </c>
      <c r="C1831">
        <v>11157</v>
      </c>
    </row>
    <row r="1832" spans="2:3" x14ac:dyDescent="0.3">
      <c r="B1832" s="87">
        <v>43599</v>
      </c>
      <c r="C1832">
        <v>11222.05</v>
      </c>
    </row>
    <row r="1833" spans="2:3" x14ac:dyDescent="0.3">
      <c r="B1833" s="87">
        <v>43598</v>
      </c>
      <c r="C1833">
        <v>11148.2</v>
      </c>
    </row>
    <row r="1834" spans="2:3" x14ac:dyDescent="0.3">
      <c r="B1834" s="87">
        <v>43595</v>
      </c>
      <c r="C1834">
        <v>11278.9</v>
      </c>
    </row>
    <row r="1835" spans="2:3" x14ac:dyDescent="0.3">
      <c r="B1835" s="87">
        <v>43594</v>
      </c>
      <c r="C1835">
        <v>11301.8</v>
      </c>
    </row>
    <row r="1836" spans="2:3" x14ac:dyDescent="0.3">
      <c r="B1836" s="87">
        <v>43593</v>
      </c>
      <c r="C1836">
        <v>11359.45</v>
      </c>
    </row>
    <row r="1837" spans="2:3" x14ac:dyDescent="0.3">
      <c r="B1837" s="87">
        <v>43592</v>
      </c>
      <c r="C1837">
        <v>11497.9</v>
      </c>
    </row>
    <row r="1838" spans="2:3" x14ac:dyDescent="0.3">
      <c r="B1838" s="87">
        <v>43591</v>
      </c>
      <c r="C1838">
        <v>11598.25</v>
      </c>
    </row>
    <row r="1839" spans="2:3" x14ac:dyDescent="0.3">
      <c r="B1839" s="87">
        <v>43588</v>
      </c>
      <c r="C1839">
        <v>11712.25</v>
      </c>
    </row>
    <row r="1840" spans="2:3" x14ac:dyDescent="0.3">
      <c r="B1840" s="87">
        <v>43587</v>
      </c>
      <c r="C1840">
        <v>11724.75</v>
      </c>
    </row>
    <row r="1841" spans="2:3" x14ac:dyDescent="0.3">
      <c r="B1841" s="87">
        <v>43585</v>
      </c>
      <c r="C1841">
        <v>11748.15</v>
      </c>
    </row>
    <row r="1842" spans="2:3" x14ac:dyDescent="0.3">
      <c r="B1842" s="87">
        <v>43581</v>
      </c>
      <c r="C1842">
        <v>11754.65</v>
      </c>
    </row>
    <row r="1843" spans="2:3" x14ac:dyDescent="0.3">
      <c r="B1843" s="87">
        <v>43580</v>
      </c>
      <c r="C1843">
        <v>11641.8</v>
      </c>
    </row>
    <row r="1844" spans="2:3" x14ac:dyDescent="0.3">
      <c r="B1844" s="87">
        <v>43579</v>
      </c>
      <c r="C1844">
        <v>11726.15</v>
      </c>
    </row>
    <row r="1845" spans="2:3" x14ac:dyDescent="0.3">
      <c r="B1845" s="87">
        <v>43578</v>
      </c>
      <c r="C1845">
        <v>11575.95</v>
      </c>
    </row>
    <row r="1846" spans="2:3" x14ac:dyDescent="0.3">
      <c r="B1846" s="87">
        <v>43577</v>
      </c>
      <c r="C1846">
        <v>11594.45</v>
      </c>
    </row>
    <row r="1847" spans="2:3" x14ac:dyDescent="0.3">
      <c r="B1847" s="87">
        <v>43573</v>
      </c>
      <c r="C1847">
        <v>11752.8</v>
      </c>
    </row>
    <row r="1848" spans="2:3" x14ac:dyDescent="0.3">
      <c r="B1848" s="87">
        <v>43571</v>
      </c>
      <c r="C1848">
        <v>11787.15</v>
      </c>
    </row>
    <row r="1849" spans="2:3" x14ac:dyDescent="0.3">
      <c r="B1849" s="87">
        <v>43570</v>
      </c>
      <c r="C1849">
        <v>11690.35</v>
      </c>
    </row>
    <row r="1850" spans="2:3" x14ac:dyDescent="0.3">
      <c r="B1850" s="87">
        <v>43567</v>
      </c>
      <c r="C1850">
        <v>11643.45</v>
      </c>
    </row>
    <row r="1851" spans="2:3" x14ac:dyDescent="0.3">
      <c r="B1851" s="87">
        <v>43566</v>
      </c>
      <c r="C1851">
        <v>11596.7</v>
      </c>
    </row>
    <row r="1852" spans="2:3" x14ac:dyDescent="0.3">
      <c r="B1852" s="87">
        <v>43565</v>
      </c>
      <c r="C1852">
        <v>11584.3</v>
      </c>
    </row>
    <row r="1853" spans="2:3" x14ac:dyDescent="0.3">
      <c r="B1853" s="87">
        <v>43564</v>
      </c>
      <c r="C1853">
        <v>11671.95</v>
      </c>
    </row>
    <row r="1854" spans="2:3" x14ac:dyDescent="0.3">
      <c r="B1854" s="87">
        <v>43563</v>
      </c>
      <c r="C1854">
        <v>11604.5</v>
      </c>
    </row>
    <row r="1855" spans="2:3" x14ac:dyDescent="0.3">
      <c r="B1855" s="87">
        <v>43560</v>
      </c>
      <c r="C1855">
        <v>11665.95</v>
      </c>
    </row>
    <row r="1856" spans="2:3" x14ac:dyDescent="0.3">
      <c r="B1856" s="87">
        <v>43559</v>
      </c>
      <c r="C1856">
        <v>11598</v>
      </c>
    </row>
    <row r="1857" spans="2:3" x14ac:dyDescent="0.3">
      <c r="B1857" s="87">
        <v>43558</v>
      </c>
      <c r="C1857">
        <v>11643.95</v>
      </c>
    </row>
    <row r="1858" spans="2:3" x14ac:dyDescent="0.3">
      <c r="B1858" s="87">
        <v>43557</v>
      </c>
      <c r="C1858">
        <v>11713.2</v>
      </c>
    </row>
    <row r="1859" spans="2:3" x14ac:dyDescent="0.3">
      <c r="B1859" s="87">
        <v>43556</v>
      </c>
      <c r="C1859">
        <v>11669.15</v>
      </c>
    </row>
    <row r="1860" spans="2:3" x14ac:dyDescent="0.3">
      <c r="B1860" s="87">
        <v>43553</v>
      </c>
      <c r="C1860">
        <v>11623.9</v>
      </c>
    </row>
    <row r="1861" spans="2:3" x14ac:dyDescent="0.3">
      <c r="B1861" s="87">
        <v>43552</v>
      </c>
      <c r="C1861">
        <v>11570</v>
      </c>
    </row>
    <row r="1862" spans="2:3" x14ac:dyDescent="0.3">
      <c r="B1862" s="87">
        <v>43551</v>
      </c>
      <c r="C1862">
        <v>11445.05</v>
      </c>
    </row>
    <row r="1863" spans="2:3" x14ac:dyDescent="0.3">
      <c r="B1863" s="87">
        <v>43550</v>
      </c>
      <c r="C1863">
        <v>11483.25</v>
      </c>
    </row>
    <row r="1864" spans="2:3" x14ac:dyDescent="0.3">
      <c r="B1864" s="87">
        <v>43549</v>
      </c>
      <c r="C1864">
        <v>11354.25</v>
      </c>
    </row>
    <row r="1865" spans="2:3" x14ac:dyDescent="0.3">
      <c r="B1865" s="87">
        <v>43546</v>
      </c>
      <c r="C1865">
        <v>11456.9</v>
      </c>
    </row>
    <row r="1866" spans="2:3" x14ac:dyDescent="0.3">
      <c r="B1866" s="87">
        <v>43544</v>
      </c>
      <c r="C1866">
        <v>11521.05</v>
      </c>
    </row>
    <row r="1867" spans="2:3" x14ac:dyDescent="0.3">
      <c r="B1867" s="87">
        <v>43543</v>
      </c>
      <c r="C1867">
        <v>11532.4</v>
      </c>
    </row>
    <row r="1868" spans="2:3" x14ac:dyDescent="0.3">
      <c r="B1868" s="87">
        <v>43542</v>
      </c>
      <c r="C1868">
        <v>11462.2</v>
      </c>
    </row>
    <row r="1869" spans="2:3" x14ac:dyDescent="0.3">
      <c r="B1869" s="87">
        <v>43539</v>
      </c>
      <c r="C1869">
        <v>11426.85</v>
      </c>
    </row>
    <row r="1870" spans="2:3" x14ac:dyDescent="0.3">
      <c r="B1870" s="87">
        <v>43538</v>
      </c>
      <c r="C1870">
        <v>11343.25</v>
      </c>
    </row>
    <row r="1871" spans="2:3" x14ac:dyDescent="0.3">
      <c r="B1871" s="87">
        <v>43537</v>
      </c>
      <c r="C1871">
        <v>11341.7</v>
      </c>
    </row>
    <row r="1872" spans="2:3" x14ac:dyDescent="0.3">
      <c r="B1872" s="87">
        <v>43536</v>
      </c>
      <c r="C1872">
        <v>11301.2</v>
      </c>
    </row>
    <row r="1873" spans="2:3" x14ac:dyDescent="0.3">
      <c r="B1873" s="87">
        <v>43535</v>
      </c>
      <c r="C1873">
        <v>11168.05</v>
      </c>
    </row>
    <row r="1874" spans="2:3" x14ac:dyDescent="0.3">
      <c r="B1874" s="87">
        <v>43532</v>
      </c>
      <c r="C1874">
        <v>11035.4</v>
      </c>
    </row>
    <row r="1875" spans="2:3" x14ac:dyDescent="0.3">
      <c r="B1875" s="87">
        <v>43531</v>
      </c>
      <c r="C1875">
        <v>11058.2</v>
      </c>
    </row>
    <row r="1876" spans="2:3" x14ac:dyDescent="0.3">
      <c r="B1876" s="87">
        <v>43530</v>
      </c>
      <c r="C1876">
        <v>11053</v>
      </c>
    </row>
    <row r="1877" spans="2:3" x14ac:dyDescent="0.3">
      <c r="B1877" s="87">
        <v>43529</v>
      </c>
      <c r="C1877">
        <v>10987.45</v>
      </c>
    </row>
    <row r="1878" spans="2:3" x14ac:dyDescent="0.3">
      <c r="B1878" s="87">
        <v>43525</v>
      </c>
      <c r="C1878">
        <v>10863.5</v>
      </c>
    </row>
    <row r="1879" spans="2:3" x14ac:dyDescent="0.3">
      <c r="B1879" s="87">
        <v>43524</v>
      </c>
      <c r="C1879">
        <v>10792.5</v>
      </c>
    </row>
    <row r="1880" spans="2:3" x14ac:dyDescent="0.3">
      <c r="B1880" s="87">
        <v>43523</v>
      </c>
      <c r="C1880">
        <v>10806.65</v>
      </c>
    </row>
    <row r="1881" spans="2:3" x14ac:dyDescent="0.3">
      <c r="B1881" s="87">
        <v>43522</v>
      </c>
      <c r="C1881">
        <v>10835.3</v>
      </c>
    </row>
    <row r="1882" spans="2:3" x14ac:dyDescent="0.3">
      <c r="B1882" s="87">
        <v>43521</v>
      </c>
      <c r="C1882">
        <v>10880.1</v>
      </c>
    </row>
    <row r="1883" spans="2:3" x14ac:dyDescent="0.3">
      <c r="B1883" s="87">
        <v>43518</v>
      </c>
      <c r="C1883">
        <v>10791.65</v>
      </c>
    </row>
    <row r="1884" spans="2:3" x14ac:dyDescent="0.3">
      <c r="B1884" s="87">
        <v>43517</v>
      </c>
      <c r="C1884">
        <v>10789.85</v>
      </c>
    </row>
    <row r="1885" spans="2:3" x14ac:dyDescent="0.3">
      <c r="B1885" s="87">
        <v>43516</v>
      </c>
      <c r="C1885">
        <v>10735.45</v>
      </c>
    </row>
    <row r="1886" spans="2:3" x14ac:dyDescent="0.3">
      <c r="B1886" s="87">
        <v>43515</v>
      </c>
      <c r="C1886">
        <v>10604.35</v>
      </c>
    </row>
    <row r="1887" spans="2:3" x14ac:dyDescent="0.3">
      <c r="B1887" s="87">
        <v>43514</v>
      </c>
      <c r="C1887">
        <v>10640.95</v>
      </c>
    </row>
    <row r="1888" spans="2:3" x14ac:dyDescent="0.3">
      <c r="B1888" s="87">
        <v>43511</v>
      </c>
      <c r="C1888">
        <v>10724.4</v>
      </c>
    </row>
    <row r="1889" spans="2:3" x14ac:dyDescent="0.3">
      <c r="B1889" s="87">
        <v>43510</v>
      </c>
      <c r="C1889">
        <v>10746.05</v>
      </c>
    </row>
    <row r="1890" spans="2:3" x14ac:dyDescent="0.3">
      <c r="B1890" s="87">
        <v>43509</v>
      </c>
      <c r="C1890">
        <v>10793.65</v>
      </c>
    </row>
    <row r="1891" spans="2:3" x14ac:dyDescent="0.3">
      <c r="B1891" s="87">
        <v>43508</v>
      </c>
      <c r="C1891">
        <v>10831.4</v>
      </c>
    </row>
    <row r="1892" spans="2:3" x14ac:dyDescent="0.3">
      <c r="B1892" s="87">
        <v>43507</v>
      </c>
      <c r="C1892">
        <v>10888.8</v>
      </c>
    </row>
    <row r="1893" spans="2:3" x14ac:dyDescent="0.3">
      <c r="B1893" s="87">
        <v>43504</v>
      </c>
      <c r="C1893">
        <v>10943.6</v>
      </c>
    </row>
    <row r="1894" spans="2:3" x14ac:dyDescent="0.3">
      <c r="B1894" s="87">
        <v>43503</v>
      </c>
      <c r="C1894">
        <v>11069.4</v>
      </c>
    </row>
    <row r="1895" spans="2:3" x14ac:dyDescent="0.3">
      <c r="B1895" s="87">
        <v>43502</v>
      </c>
      <c r="C1895">
        <v>11062.45</v>
      </c>
    </row>
    <row r="1896" spans="2:3" x14ac:dyDescent="0.3">
      <c r="B1896" s="87">
        <v>43501</v>
      </c>
      <c r="C1896">
        <v>10934.35</v>
      </c>
    </row>
    <row r="1897" spans="2:3" x14ac:dyDescent="0.3">
      <c r="B1897" s="87">
        <v>43500</v>
      </c>
      <c r="C1897">
        <v>10912.25</v>
      </c>
    </row>
    <row r="1898" spans="2:3" x14ac:dyDescent="0.3">
      <c r="B1898" s="87">
        <v>43497</v>
      </c>
      <c r="C1898">
        <v>10893.65</v>
      </c>
    </row>
    <row r="1899" spans="2:3" x14ac:dyDescent="0.3">
      <c r="B1899" s="87">
        <v>43496</v>
      </c>
      <c r="C1899">
        <v>10830.95</v>
      </c>
    </row>
    <row r="1900" spans="2:3" x14ac:dyDescent="0.3">
      <c r="B1900" s="87">
        <v>43495</v>
      </c>
      <c r="C1900">
        <v>10651.8</v>
      </c>
    </row>
    <row r="1901" spans="2:3" x14ac:dyDescent="0.3">
      <c r="B1901" s="87">
        <v>43494</v>
      </c>
      <c r="C1901">
        <v>10652.2</v>
      </c>
    </row>
    <row r="1902" spans="2:3" x14ac:dyDescent="0.3">
      <c r="B1902" s="87">
        <v>43493</v>
      </c>
      <c r="C1902">
        <v>10661.55</v>
      </c>
    </row>
    <row r="1903" spans="2:3" x14ac:dyDescent="0.3">
      <c r="B1903" s="87">
        <v>43490</v>
      </c>
      <c r="C1903">
        <v>10780.55</v>
      </c>
    </row>
    <row r="1904" spans="2:3" x14ac:dyDescent="0.3">
      <c r="B1904" s="87">
        <v>43489</v>
      </c>
      <c r="C1904">
        <v>10849.8</v>
      </c>
    </row>
    <row r="1905" spans="2:3" x14ac:dyDescent="0.3">
      <c r="B1905" s="87">
        <v>43488</v>
      </c>
      <c r="C1905">
        <v>10831.5</v>
      </c>
    </row>
    <row r="1906" spans="2:3" x14ac:dyDescent="0.3">
      <c r="B1906" s="87">
        <v>43487</v>
      </c>
      <c r="C1906">
        <v>10922.75</v>
      </c>
    </row>
    <row r="1907" spans="2:3" x14ac:dyDescent="0.3">
      <c r="B1907" s="87">
        <v>43486</v>
      </c>
      <c r="C1907">
        <v>10961.85</v>
      </c>
    </row>
    <row r="1908" spans="2:3" x14ac:dyDescent="0.3">
      <c r="B1908" s="87">
        <v>43483</v>
      </c>
      <c r="C1908">
        <v>10906.95</v>
      </c>
    </row>
    <row r="1909" spans="2:3" x14ac:dyDescent="0.3">
      <c r="B1909" s="87">
        <v>43482</v>
      </c>
      <c r="C1909">
        <v>10905.2</v>
      </c>
    </row>
    <row r="1910" spans="2:3" x14ac:dyDescent="0.3">
      <c r="B1910" s="87">
        <v>43481</v>
      </c>
      <c r="C1910">
        <v>10890.3</v>
      </c>
    </row>
    <row r="1911" spans="2:3" x14ac:dyDescent="0.3">
      <c r="B1911" s="87">
        <v>43480</v>
      </c>
      <c r="C1911">
        <v>10886.8</v>
      </c>
    </row>
    <row r="1912" spans="2:3" x14ac:dyDescent="0.3">
      <c r="B1912" s="87">
        <v>43479</v>
      </c>
      <c r="C1912">
        <v>10737.6</v>
      </c>
    </row>
    <row r="1913" spans="2:3" x14ac:dyDescent="0.3">
      <c r="B1913" s="87">
        <v>43476</v>
      </c>
      <c r="C1913">
        <v>10794.95</v>
      </c>
    </row>
    <row r="1914" spans="2:3" x14ac:dyDescent="0.3">
      <c r="B1914" s="87">
        <v>43475</v>
      </c>
      <c r="C1914">
        <v>10821.6</v>
      </c>
    </row>
    <row r="1915" spans="2:3" x14ac:dyDescent="0.3">
      <c r="B1915" s="87">
        <v>43474</v>
      </c>
      <c r="C1915">
        <v>10855.15</v>
      </c>
    </row>
    <row r="1916" spans="2:3" x14ac:dyDescent="0.3">
      <c r="B1916" s="87">
        <v>43473</v>
      </c>
      <c r="C1916">
        <v>10802.15</v>
      </c>
    </row>
    <row r="1917" spans="2:3" x14ac:dyDescent="0.3">
      <c r="B1917" s="87">
        <v>43472</v>
      </c>
      <c r="C1917">
        <v>10771.8</v>
      </c>
    </row>
    <row r="1918" spans="2:3" x14ac:dyDescent="0.3">
      <c r="B1918" s="87">
        <v>43469</v>
      </c>
      <c r="C1918">
        <v>10727.35</v>
      </c>
    </row>
    <row r="1919" spans="2:3" x14ac:dyDescent="0.3">
      <c r="B1919" s="87">
        <v>43468</v>
      </c>
      <c r="C1919">
        <v>10672.25</v>
      </c>
    </row>
    <row r="1920" spans="2:3" x14ac:dyDescent="0.3">
      <c r="B1920" s="87">
        <v>43467</v>
      </c>
      <c r="C1920">
        <v>10792.5</v>
      </c>
    </row>
    <row r="1921" spans="2:3" x14ac:dyDescent="0.3">
      <c r="B1921" s="87">
        <v>43466</v>
      </c>
      <c r="C1921">
        <v>10910.1</v>
      </c>
    </row>
    <row r="1922" spans="2:3" x14ac:dyDescent="0.3">
      <c r="B1922" s="87">
        <v>43465</v>
      </c>
      <c r="C1922">
        <v>10862.55</v>
      </c>
    </row>
    <row r="1923" spans="2:3" x14ac:dyDescent="0.3">
      <c r="B1923" s="87">
        <v>43462</v>
      </c>
      <c r="C1923">
        <v>10859.9</v>
      </c>
    </row>
    <row r="1924" spans="2:3" x14ac:dyDescent="0.3">
      <c r="B1924" s="87">
        <v>43461</v>
      </c>
      <c r="C1924">
        <v>10779.8</v>
      </c>
    </row>
    <row r="1925" spans="2:3" x14ac:dyDescent="0.3">
      <c r="B1925" s="87">
        <v>43460</v>
      </c>
      <c r="C1925">
        <v>10729.85</v>
      </c>
    </row>
    <row r="1926" spans="2:3" x14ac:dyDescent="0.3">
      <c r="B1926" s="87">
        <v>43458</v>
      </c>
      <c r="C1926">
        <v>10663.5</v>
      </c>
    </row>
    <row r="1927" spans="2:3" x14ac:dyDescent="0.3">
      <c r="B1927" s="87">
        <v>43455</v>
      </c>
      <c r="C1927">
        <v>10754</v>
      </c>
    </row>
    <row r="1928" spans="2:3" x14ac:dyDescent="0.3">
      <c r="B1928" s="87">
        <v>43454</v>
      </c>
      <c r="C1928">
        <v>10951.7</v>
      </c>
    </row>
    <row r="1929" spans="2:3" x14ac:dyDescent="0.3">
      <c r="B1929" s="87">
        <v>43453</v>
      </c>
      <c r="C1929">
        <v>10967.3</v>
      </c>
    </row>
    <row r="1930" spans="2:3" x14ac:dyDescent="0.3">
      <c r="B1930" s="87">
        <v>43452</v>
      </c>
      <c r="C1930">
        <v>10908.7</v>
      </c>
    </row>
    <row r="1931" spans="2:3" x14ac:dyDescent="0.3">
      <c r="B1931" s="87">
        <v>43451</v>
      </c>
      <c r="C1931">
        <v>10888.35</v>
      </c>
    </row>
    <row r="1932" spans="2:3" x14ac:dyDescent="0.3">
      <c r="B1932" s="87">
        <v>43448</v>
      </c>
      <c r="C1932">
        <v>10805.45</v>
      </c>
    </row>
    <row r="1933" spans="2:3" x14ac:dyDescent="0.3">
      <c r="B1933" s="87">
        <v>43447</v>
      </c>
      <c r="C1933">
        <v>10791.55</v>
      </c>
    </row>
    <row r="1934" spans="2:3" x14ac:dyDescent="0.3">
      <c r="B1934" s="87">
        <v>43446</v>
      </c>
      <c r="C1934">
        <v>10737.6</v>
      </c>
    </row>
    <row r="1935" spans="2:3" x14ac:dyDescent="0.3">
      <c r="B1935" s="87">
        <v>43445</v>
      </c>
      <c r="C1935">
        <v>10549.15</v>
      </c>
    </row>
    <row r="1936" spans="2:3" x14ac:dyDescent="0.3">
      <c r="B1936" s="87">
        <v>43444</v>
      </c>
      <c r="C1936">
        <v>10488.45</v>
      </c>
    </row>
    <row r="1937" spans="2:3" x14ac:dyDescent="0.3">
      <c r="B1937" s="87">
        <v>43441</v>
      </c>
      <c r="C1937">
        <v>10693.7</v>
      </c>
    </row>
    <row r="1938" spans="2:3" x14ac:dyDescent="0.3">
      <c r="B1938" s="87">
        <v>43440</v>
      </c>
      <c r="C1938">
        <v>10601.15</v>
      </c>
    </row>
    <row r="1939" spans="2:3" x14ac:dyDescent="0.3">
      <c r="B1939" s="87">
        <v>43439</v>
      </c>
      <c r="C1939">
        <v>10782.9</v>
      </c>
    </row>
    <row r="1940" spans="2:3" x14ac:dyDescent="0.3">
      <c r="B1940" s="87">
        <v>43438</v>
      </c>
      <c r="C1940">
        <v>10869.5</v>
      </c>
    </row>
    <row r="1941" spans="2:3" x14ac:dyDescent="0.3">
      <c r="B1941" s="87">
        <v>43437</v>
      </c>
      <c r="C1941">
        <v>10883.75</v>
      </c>
    </row>
    <row r="1942" spans="2:3" x14ac:dyDescent="0.3">
      <c r="B1942" s="87">
        <v>43434</v>
      </c>
      <c r="C1942">
        <v>10876.75</v>
      </c>
    </row>
    <row r="1943" spans="2:3" x14ac:dyDescent="0.3">
      <c r="B1943" s="87">
        <v>43433</v>
      </c>
      <c r="C1943">
        <v>10858.7</v>
      </c>
    </row>
    <row r="1944" spans="2:3" x14ac:dyDescent="0.3">
      <c r="B1944" s="87">
        <v>43432</v>
      </c>
      <c r="C1944">
        <v>10728.85</v>
      </c>
    </row>
    <row r="1945" spans="2:3" x14ac:dyDescent="0.3">
      <c r="B1945" s="87">
        <v>43431</v>
      </c>
      <c r="C1945">
        <v>10685.6</v>
      </c>
    </row>
    <row r="1946" spans="2:3" x14ac:dyDescent="0.3">
      <c r="B1946" s="87">
        <v>43430</v>
      </c>
      <c r="C1946">
        <v>10628.6</v>
      </c>
    </row>
    <row r="1947" spans="2:3" x14ac:dyDescent="0.3">
      <c r="B1947" s="87">
        <v>43426</v>
      </c>
      <c r="C1947">
        <v>10526.75</v>
      </c>
    </row>
    <row r="1948" spans="2:3" x14ac:dyDescent="0.3">
      <c r="B1948" s="87">
        <v>43425</v>
      </c>
      <c r="C1948">
        <v>10600.05</v>
      </c>
    </row>
    <row r="1949" spans="2:3" x14ac:dyDescent="0.3">
      <c r="B1949" s="87">
        <v>43424</v>
      </c>
      <c r="C1949">
        <v>10656.2</v>
      </c>
    </row>
    <row r="1950" spans="2:3" x14ac:dyDescent="0.3">
      <c r="B1950" s="87">
        <v>43423</v>
      </c>
      <c r="C1950">
        <v>10763.4</v>
      </c>
    </row>
    <row r="1951" spans="2:3" x14ac:dyDescent="0.3">
      <c r="B1951" s="87">
        <v>43420</v>
      </c>
      <c r="C1951">
        <v>10682.2</v>
      </c>
    </row>
    <row r="1952" spans="2:3" x14ac:dyDescent="0.3">
      <c r="B1952" s="87">
        <v>43419</v>
      </c>
      <c r="C1952">
        <v>10616.7</v>
      </c>
    </row>
    <row r="1953" spans="2:3" x14ac:dyDescent="0.3">
      <c r="B1953" s="87">
        <v>43418</v>
      </c>
      <c r="C1953">
        <v>10576.3</v>
      </c>
    </row>
    <row r="1954" spans="2:3" x14ac:dyDescent="0.3">
      <c r="B1954" s="87">
        <v>43417</v>
      </c>
      <c r="C1954">
        <v>10582.5</v>
      </c>
    </row>
    <row r="1955" spans="2:3" x14ac:dyDescent="0.3">
      <c r="B1955" s="87">
        <v>43416</v>
      </c>
      <c r="C1955">
        <v>10482.200000000001</v>
      </c>
    </row>
    <row r="1956" spans="2:3" x14ac:dyDescent="0.3">
      <c r="B1956" s="87">
        <v>43413</v>
      </c>
      <c r="C1956">
        <v>10585.2</v>
      </c>
    </row>
    <row r="1957" spans="2:3" x14ac:dyDescent="0.3">
      <c r="B1957" s="87">
        <v>43411</v>
      </c>
      <c r="C1957">
        <v>10598.4</v>
      </c>
    </row>
    <row r="1958" spans="2:3" x14ac:dyDescent="0.3">
      <c r="B1958" s="87">
        <v>43410</v>
      </c>
      <c r="C1958">
        <v>10530</v>
      </c>
    </row>
    <row r="1959" spans="2:3" x14ac:dyDescent="0.3">
      <c r="B1959" s="87">
        <v>43409</v>
      </c>
      <c r="C1959">
        <v>10524</v>
      </c>
    </row>
    <row r="1960" spans="2:3" x14ac:dyDescent="0.3">
      <c r="B1960" s="87">
        <v>43406</v>
      </c>
      <c r="C1960">
        <v>10553</v>
      </c>
    </row>
    <row r="1961" spans="2:3" x14ac:dyDescent="0.3">
      <c r="B1961" s="87">
        <v>43405</v>
      </c>
      <c r="C1961">
        <v>10380.450000000001</v>
      </c>
    </row>
    <row r="1962" spans="2:3" x14ac:dyDescent="0.3">
      <c r="B1962" s="87">
        <v>43404</v>
      </c>
      <c r="C1962">
        <v>10386.6</v>
      </c>
    </row>
    <row r="1963" spans="2:3" x14ac:dyDescent="0.3">
      <c r="B1963" s="87">
        <v>43403</v>
      </c>
      <c r="C1963">
        <v>10198.4</v>
      </c>
    </row>
    <row r="1964" spans="2:3" x14ac:dyDescent="0.3">
      <c r="B1964" s="87">
        <v>43402</v>
      </c>
      <c r="C1964">
        <v>10250.85</v>
      </c>
    </row>
    <row r="1965" spans="2:3" x14ac:dyDescent="0.3">
      <c r="B1965" s="87">
        <v>43399</v>
      </c>
      <c r="C1965">
        <v>10030</v>
      </c>
    </row>
    <row r="1966" spans="2:3" x14ac:dyDescent="0.3">
      <c r="B1966" s="87">
        <v>43398</v>
      </c>
      <c r="C1966">
        <v>10124.9</v>
      </c>
    </row>
    <row r="1967" spans="2:3" x14ac:dyDescent="0.3">
      <c r="B1967" s="87">
        <v>43397</v>
      </c>
      <c r="C1967">
        <v>10224.75</v>
      </c>
    </row>
    <row r="1968" spans="2:3" x14ac:dyDescent="0.3">
      <c r="B1968" s="87">
        <v>43396</v>
      </c>
      <c r="C1968">
        <v>10146.799999999999</v>
      </c>
    </row>
    <row r="1969" spans="2:3" x14ac:dyDescent="0.3">
      <c r="B1969" s="87">
        <v>43395</v>
      </c>
      <c r="C1969">
        <v>10245.25</v>
      </c>
    </row>
    <row r="1970" spans="2:3" x14ac:dyDescent="0.3">
      <c r="B1970" s="87">
        <v>43392</v>
      </c>
      <c r="C1970">
        <v>10303.549999999999</v>
      </c>
    </row>
    <row r="1971" spans="2:3" x14ac:dyDescent="0.3">
      <c r="B1971" s="87">
        <v>43390</v>
      </c>
      <c r="C1971">
        <v>10453.049999999999</v>
      </c>
    </row>
    <row r="1972" spans="2:3" x14ac:dyDescent="0.3">
      <c r="B1972" s="87">
        <v>43389</v>
      </c>
      <c r="C1972">
        <v>10584.75</v>
      </c>
    </row>
    <row r="1973" spans="2:3" x14ac:dyDescent="0.3">
      <c r="B1973" s="87">
        <v>43388</v>
      </c>
      <c r="C1973">
        <v>10512.5</v>
      </c>
    </row>
    <row r="1974" spans="2:3" x14ac:dyDescent="0.3">
      <c r="B1974" s="87">
        <v>43385</v>
      </c>
      <c r="C1974">
        <v>10472.5</v>
      </c>
    </row>
    <row r="1975" spans="2:3" x14ac:dyDescent="0.3">
      <c r="B1975" s="87">
        <v>43384</v>
      </c>
      <c r="C1975">
        <v>10234.65</v>
      </c>
    </row>
    <row r="1976" spans="2:3" x14ac:dyDescent="0.3">
      <c r="B1976" s="87">
        <v>43383</v>
      </c>
      <c r="C1976">
        <v>10460.1</v>
      </c>
    </row>
    <row r="1977" spans="2:3" x14ac:dyDescent="0.3">
      <c r="B1977" s="87">
        <v>43382</v>
      </c>
      <c r="C1977">
        <v>10301.049999999999</v>
      </c>
    </row>
    <row r="1978" spans="2:3" x14ac:dyDescent="0.3">
      <c r="B1978" s="87">
        <v>43381</v>
      </c>
      <c r="C1978">
        <v>10348.049999999999</v>
      </c>
    </row>
    <row r="1979" spans="2:3" x14ac:dyDescent="0.3">
      <c r="B1979" s="87">
        <v>43378</v>
      </c>
      <c r="C1979">
        <v>10316.450000000001</v>
      </c>
    </row>
    <row r="1980" spans="2:3" x14ac:dyDescent="0.3">
      <c r="B1980" s="87">
        <v>43377</v>
      </c>
      <c r="C1980">
        <v>10599.25</v>
      </c>
    </row>
    <row r="1981" spans="2:3" x14ac:dyDescent="0.3">
      <c r="B1981" s="87">
        <v>43376</v>
      </c>
      <c r="C1981">
        <v>10858.25</v>
      </c>
    </row>
    <row r="1982" spans="2:3" x14ac:dyDescent="0.3">
      <c r="B1982" s="87">
        <v>43374</v>
      </c>
      <c r="C1982">
        <v>11008.3</v>
      </c>
    </row>
    <row r="1983" spans="2:3" x14ac:dyDescent="0.3">
      <c r="B1983" s="87">
        <v>43371</v>
      </c>
      <c r="C1983">
        <v>10930.45</v>
      </c>
    </row>
    <row r="1984" spans="2:3" x14ac:dyDescent="0.3">
      <c r="B1984" s="87">
        <v>43370</v>
      </c>
      <c r="C1984">
        <v>10977.55</v>
      </c>
    </row>
    <row r="1985" spans="2:3" x14ac:dyDescent="0.3">
      <c r="B1985" s="87">
        <v>43369</v>
      </c>
      <c r="C1985">
        <v>11053.8</v>
      </c>
    </row>
    <row r="1986" spans="2:3" x14ac:dyDescent="0.3">
      <c r="B1986" s="87">
        <v>43368</v>
      </c>
      <c r="C1986">
        <v>11067.45</v>
      </c>
    </row>
    <row r="1987" spans="2:3" x14ac:dyDescent="0.3">
      <c r="B1987" s="87">
        <v>43367</v>
      </c>
      <c r="C1987">
        <v>10967.4</v>
      </c>
    </row>
    <row r="1988" spans="2:3" x14ac:dyDescent="0.3">
      <c r="B1988" s="87">
        <v>43364</v>
      </c>
      <c r="C1988">
        <v>11143.1</v>
      </c>
    </row>
    <row r="1989" spans="2:3" x14ac:dyDescent="0.3">
      <c r="B1989" s="87">
        <v>43362</v>
      </c>
      <c r="C1989">
        <v>11234.35</v>
      </c>
    </row>
    <row r="1990" spans="2:3" x14ac:dyDescent="0.3">
      <c r="B1990" s="87">
        <v>43361</v>
      </c>
      <c r="C1990">
        <v>11278.9</v>
      </c>
    </row>
    <row r="1991" spans="2:3" x14ac:dyDescent="0.3">
      <c r="B1991" s="87">
        <v>43360</v>
      </c>
      <c r="C1991">
        <v>11377.75</v>
      </c>
    </row>
    <row r="1992" spans="2:3" x14ac:dyDescent="0.3">
      <c r="B1992" s="87">
        <v>43357</v>
      </c>
      <c r="C1992">
        <v>11515.2</v>
      </c>
    </row>
    <row r="1993" spans="2:3" x14ac:dyDescent="0.3">
      <c r="B1993" s="87">
        <v>43355</v>
      </c>
      <c r="C1993">
        <v>11369.9</v>
      </c>
    </row>
    <row r="1994" spans="2:3" x14ac:dyDescent="0.3">
      <c r="B1994" s="87">
        <v>43354</v>
      </c>
      <c r="C1994">
        <v>11287.5</v>
      </c>
    </row>
    <row r="1995" spans="2:3" x14ac:dyDescent="0.3">
      <c r="B1995" s="87">
        <v>43353</v>
      </c>
      <c r="C1995">
        <v>11438.1</v>
      </c>
    </row>
    <row r="1996" spans="2:3" x14ac:dyDescent="0.3">
      <c r="B1996" s="87">
        <v>43350</v>
      </c>
      <c r="C1996">
        <v>11589.1</v>
      </c>
    </row>
    <row r="1997" spans="2:3" x14ac:dyDescent="0.3">
      <c r="B1997" s="87">
        <v>43349</v>
      </c>
      <c r="C1997">
        <v>11536.9</v>
      </c>
    </row>
    <row r="1998" spans="2:3" x14ac:dyDescent="0.3">
      <c r="B1998" s="87">
        <v>43348</v>
      </c>
      <c r="C1998">
        <v>11476.95</v>
      </c>
    </row>
    <row r="1999" spans="2:3" x14ac:dyDescent="0.3">
      <c r="B1999" s="87">
        <v>43347</v>
      </c>
      <c r="C1999">
        <v>11520.3</v>
      </c>
    </row>
    <row r="2000" spans="2:3" x14ac:dyDescent="0.3">
      <c r="B2000" s="87">
        <v>43346</v>
      </c>
      <c r="C2000">
        <v>11582.35</v>
      </c>
    </row>
    <row r="2001" spans="2:3" x14ac:dyDescent="0.3">
      <c r="B2001" s="87">
        <v>43343</v>
      </c>
      <c r="C2001">
        <v>11680.5</v>
      </c>
    </row>
    <row r="2002" spans="2:3" x14ac:dyDescent="0.3">
      <c r="B2002" s="87">
        <v>43342</v>
      </c>
      <c r="C2002">
        <v>11676.8</v>
      </c>
    </row>
    <row r="2003" spans="2:3" x14ac:dyDescent="0.3">
      <c r="B2003" s="87">
        <v>43341</v>
      </c>
      <c r="C2003">
        <v>11691.9</v>
      </c>
    </row>
    <row r="2004" spans="2:3" x14ac:dyDescent="0.3">
      <c r="B2004" s="87">
        <v>43340</v>
      </c>
      <c r="C2004">
        <v>11738.5</v>
      </c>
    </row>
    <row r="2005" spans="2:3" x14ac:dyDescent="0.3">
      <c r="B2005" s="87">
        <v>43339</v>
      </c>
      <c r="C2005">
        <v>11691.95</v>
      </c>
    </row>
    <row r="2006" spans="2:3" x14ac:dyDescent="0.3">
      <c r="B2006" s="87">
        <v>43336</v>
      </c>
      <c r="C2006">
        <v>11557.1</v>
      </c>
    </row>
    <row r="2007" spans="2:3" x14ac:dyDescent="0.3">
      <c r="B2007" s="87">
        <v>43335</v>
      </c>
      <c r="C2007">
        <v>11582.75</v>
      </c>
    </row>
    <row r="2008" spans="2:3" x14ac:dyDescent="0.3">
      <c r="B2008" s="87">
        <v>43333</v>
      </c>
      <c r="C2008">
        <v>11570.9</v>
      </c>
    </row>
    <row r="2009" spans="2:3" x14ac:dyDescent="0.3">
      <c r="B2009" s="87">
        <v>43332</v>
      </c>
      <c r="C2009">
        <v>11551.75</v>
      </c>
    </row>
    <row r="2010" spans="2:3" x14ac:dyDescent="0.3">
      <c r="B2010" s="87">
        <v>43329</v>
      </c>
      <c r="C2010">
        <v>11470.75</v>
      </c>
    </row>
    <row r="2011" spans="2:3" x14ac:dyDescent="0.3">
      <c r="B2011" s="87">
        <v>43328</v>
      </c>
      <c r="C2011">
        <v>11385.05</v>
      </c>
    </row>
    <row r="2012" spans="2:3" x14ac:dyDescent="0.3">
      <c r="B2012" s="87">
        <v>43326</v>
      </c>
      <c r="C2012">
        <v>11435.1</v>
      </c>
    </row>
    <row r="2013" spans="2:3" x14ac:dyDescent="0.3">
      <c r="B2013" s="87">
        <v>43325</v>
      </c>
      <c r="C2013">
        <v>11355.75</v>
      </c>
    </row>
    <row r="2014" spans="2:3" x14ac:dyDescent="0.3">
      <c r="B2014" s="87">
        <v>43322</v>
      </c>
      <c r="C2014">
        <v>11429.5</v>
      </c>
    </row>
    <row r="2015" spans="2:3" x14ac:dyDescent="0.3">
      <c r="B2015" s="87">
        <v>43321</v>
      </c>
      <c r="C2015">
        <v>11470.7</v>
      </c>
    </row>
    <row r="2016" spans="2:3" x14ac:dyDescent="0.3">
      <c r="B2016" s="87">
        <v>43320</v>
      </c>
      <c r="C2016">
        <v>11450</v>
      </c>
    </row>
    <row r="2017" spans="2:3" x14ac:dyDescent="0.3">
      <c r="B2017" s="87">
        <v>43319</v>
      </c>
      <c r="C2017">
        <v>11389.45</v>
      </c>
    </row>
    <row r="2018" spans="2:3" x14ac:dyDescent="0.3">
      <c r="B2018" s="87">
        <v>43318</v>
      </c>
      <c r="C2018">
        <v>11387.1</v>
      </c>
    </row>
    <row r="2019" spans="2:3" x14ac:dyDescent="0.3">
      <c r="B2019" s="87">
        <v>43315</v>
      </c>
      <c r="C2019">
        <v>11360.8</v>
      </c>
    </row>
    <row r="2020" spans="2:3" x14ac:dyDescent="0.3">
      <c r="B2020" s="87">
        <v>43314</v>
      </c>
      <c r="C2020">
        <v>11244.7</v>
      </c>
    </row>
    <row r="2021" spans="2:3" x14ac:dyDescent="0.3">
      <c r="B2021" s="87">
        <v>43313</v>
      </c>
      <c r="C2021">
        <v>11346.2</v>
      </c>
    </row>
    <row r="2022" spans="2:3" x14ac:dyDescent="0.3">
      <c r="B2022" s="87">
        <v>43312</v>
      </c>
      <c r="C2022">
        <v>11356.5</v>
      </c>
    </row>
    <row r="2023" spans="2:3" x14ac:dyDescent="0.3">
      <c r="B2023" s="87">
        <v>43311</v>
      </c>
      <c r="C2023">
        <v>11319.55</v>
      </c>
    </row>
    <row r="2024" spans="2:3" x14ac:dyDescent="0.3">
      <c r="B2024" s="87">
        <v>43308</v>
      </c>
      <c r="C2024">
        <v>11278.35</v>
      </c>
    </row>
    <row r="2025" spans="2:3" x14ac:dyDescent="0.3">
      <c r="B2025" s="87">
        <v>43307</v>
      </c>
      <c r="C2025">
        <v>11167.3</v>
      </c>
    </row>
    <row r="2026" spans="2:3" x14ac:dyDescent="0.3">
      <c r="B2026" s="87">
        <v>43306</v>
      </c>
      <c r="C2026">
        <v>11132</v>
      </c>
    </row>
    <row r="2027" spans="2:3" x14ac:dyDescent="0.3">
      <c r="B2027" s="87">
        <v>43305</v>
      </c>
      <c r="C2027">
        <v>11134.3</v>
      </c>
    </row>
    <row r="2028" spans="2:3" x14ac:dyDescent="0.3">
      <c r="B2028" s="87">
        <v>43304</v>
      </c>
      <c r="C2028">
        <v>11084.75</v>
      </c>
    </row>
    <row r="2029" spans="2:3" x14ac:dyDescent="0.3">
      <c r="B2029" s="87">
        <v>43301</v>
      </c>
      <c r="C2029">
        <v>11010.2</v>
      </c>
    </row>
    <row r="2030" spans="2:3" x14ac:dyDescent="0.3">
      <c r="B2030" s="87">
        <v>43300</v>
      </c>
      <c r="C2030">
        <v>10957.1</v>
      </c>
    </row>
    <row r="2031" spans="2:3" x14ac:dyDescent="0.3">
      <c r="B2031" s="87">
        <v>43299</v>
      </c>
      <c r="C2031">
        <v>10980.45</v>
      </c>
    </row>
    <row r="2032" spans="2:3" x14ac:dyDescent="0.3">
      <c r="B2032" s="87">
        <v>43298</v>
      </c>
      <c r="C2032">
        <v>11008.05</v>
      </c>
    </row>
    <row r="2033" spans="2:3" x14ac:dyDescent="0.3">
      <c r="B2033" s="87">
        <v>43297</v>
      </c>
      <c r="C2033">
        <v>10936.85</v>
      </c>
    </row>
    <row r="2034" spans="2:3" x14ac:dyDescent="0.3">
      <c r="B2034" s="87">
        <v>43294</v>
      </c>
      <c r="C2034">
        <v>11018.9</v>
      </c>
    </row>
    <row r="2035" spans="2:3" x14ac:dyDescent="0.3">
      <c r="B2035" s="87">
        <v>43293</v>
      </c>
      <c r="C2035">
        <v>11023.2</v>
      </c>
    </row>
    <row r="2036" spans="2:3" x14ac:dyDescent="0.3">
      <c r="B2036" s="87">
        <v>43292</v>
      </c>
      <c r="C2036">
        <v>10948.3</v>
      </c>
    </row>
    <row r="2037" spans="2:3" x14ac:dyDescent="0.3">
      <c r="B2037" s="87">
        <v>43291</v>
      </c>
      <c r="C2037">
        <v>10947.25</v>
      </c>
    </row>
    <row r="2038" spans="2:3" x14ac:dyDescent="0.3">
      <c r="B2038" s="87">
        <v>43290</v>
      </c>
      <c r="C2038">
        <v>10852.9</v>
      </c>
    </row>
    <row r="2039" spans="2:3" x14ac:dyDescent="0.3">
      <c r="B2039" s="87">
        <v>43287</v>
      </c>
      <c r="C2039">
        <v>10772.65</v>
      </c>
    </row>
    <row r="2040" spans="2:3" x14ac:dyDescent="0.3">
      <c r="B2040" s="87">
        <v>43286</v>
      </c>
      <c r="C2040">
        <v>10749.75</v>
      </c>
    </row>
    <row r="2041" spans="2:3" x14ac:dyDescent="0.3">
      <c r="B2041" s="87">
        <v>43285</v>
      </c>
      <c r="C2041">
        <v>10769.9</v>
      </c>
    </row>
    <row r="2042" spans="2:3" x14ac:dyDescent="0.3">
      <c r="B2042" s="87">
        <v>43284</v>
      </c>
      <c r="C2042">
        <v>10699.9</v>
      </c>
    </row>
    <row r="2043" spans="2:3" x14ac:dyDescent="0.3">
      <c r="B2043" s="87">
        <v>43283</v>
      </c>
      <c r="C2043">
        <v>10657.3</v>
      </c>
    </row>
    <row r="2044" spans="2:3" x14ac:dyDescent="0.3">
      <c r="B2044" s="87">
        <v>43280</v>
      </c>
      <c r="C2044">
        <v>10714.3</v>
      </c>
    </row>
    <row r="2045" spans="2:3" x14ac:dyDescent="0.3">
      <c r="B2045" s="87">
        <v>43279</v>
      </c>
      <c r="C2045">
        <v>10589.1</v>
      </c>
    </row>
    <row r="2046" spans="2:3" x14ac:dyDescent="0.3">
      <c r="B2046" s="87">
        <v>43278</v>
      </c>
      <c r="C2046">
        <v>10671.4</v>
      </c>
    </row>
    <row r="2047" spans="2:3" x14ac:dyDescent="0.3">
      <c r="B2047" s="87">
        <v>43277</v>
      </c>
      <c r="C2047">
        <v>10769.15</v>
      </c>
    </row>
    <row r="2048" spans="2:3" x14ac:dyDescent="0.3">
      <c r="B2048" s="87">
        <v>43276</v>
      </c>
      <c r="C2048">
        <v>10762.45</v>
      </c>
    </row>
    <row r="2049" spans="2:3" x14ac:dyDescent="0.3">
      <c r="B2049" s="87">
        <v>43273</v>
      </c>
      <c r="C2049">
        <v>10821.85</v>
      </c>
    </row>
    <row r="2050" spans="2:3" x14ac:dyDescent="0.3">
      <c r="B2050" s="87">
        <v>43272</v>
      </c>
      <c r="C2050">
        <v>10741.1</v>
      </c>
    </row>
    <row r="2051" spans="2:3" x14ac:dyDescent="0.3">
      <c r="B2051" s="87">
        <v>43271</v>
      </c>
      <c r="C2051">
        <v>10772.05</v>
      </c>
    </row>
    <row r="2052" spans="2:3" x14ac:dyDescent="0.3">
      <c r="B2052" s="87">
        <v>43270</v>
      </c>
      <c r="C2052">
        <v>10710.45</v>
      </c>
    </row>
    <row r="2053" spans="2:3" x14ac:dyDescent="0.3">
      <c r="B2053" s="87">
        <v>43269</v>
      </c>
      <c r="C2053">
        <v>10799.85</v>
      </c>
    </row>
    <row r="2054" spans="2:3" x14ac:dyDescent="0.3">
      <c r="B2054" s="87">
        <v>43266</v>
      </c>
      <c r="C2054">
        <v>10817.7</v>
      </c>
    </row>
    <row r="2055" spans="2:3" x14ac:dyDescent="0.3">
      <c r="B2055" s="87">
        <v>43265</v>
      </c>
      <c r="C2055">
        <v>10808.05</v>
      </c>
    </row>
    <row r="2056" spans="2:3" x14ac:dyDescent="0.3">
      <c r="B2056" s="87">
        <v>43264</v>
      </c>
      <c r="C2056">
        <v>10856.7</v>
      </c>
    </row>
    <row r="2057" spans="2:3" x14ac:dyDescent="0.3">
      <c r="B2057" s="87">
        <v>43263</v>
      </c>
      <c r="C2057">
        <v>10842.85</v>
      </c>
    </row>
    <row r="2058" spans="2:3" x14ac:dyDescent="0.3">
      <c r="B2058" s="87">
        <v>43262</v>
      </c>
      <c r="C2058">
        <v>10786.95</v>
      </c>
    </row>
    <row r="2059" spans="2:3" x14ac:dyDescent="0.3">
      <c r="B2059" s="87">
        <v>43259</v>
      </c>
      <c r="C2059">
        <v>10767.65</v>
      </c>
    </row>
    <row r="2060" spans="2:3" x14ac:dyDescent="0.3">
      <c r="B2060" s="87">
        <v>43258</v>
      </c>
      <c r="C2060">
        <v>10768.35</v>
      </c>
    </row>
    <row r="2061" spans="2:3" x14ac:dyDescent="0.3">
      <c r="B2061" s="87">
        <v>43257</v>
      </c>
      <c r="C2061">
        <v>10684.65</v>
      </c>
    </row>
    <row r="2062" spans="2:3" x14ac:dyDescent="0.3">
      <c r="B2062" s="87">
        <v>43256</v>
      </c>
      <c r="C2062">
        <v>10593.15</v>
      </c>
    </row>
    <row r="2063" spans="2:3" x14ac:dyDescent="0.3">
      <c r="B2063" s="87">
        <v>43255</v>
      </c>
      <c r="C2063">
        <v>10628.5</v>
      </c>
    </row>
    <row r="2064" spans="2:3" x14ac:dyDescent="0.3">
      <c r="B2064" s="87">
        <v>43252</v>
      </c>
      <c r="C2064">
        <v>10696.2</v>
      </c>
    </row>
    <row r="2065" spans="2:3" x14ac:dyDescent="0.3">
      <c r="B2065" s="87">
        <v>43251</v>
      </c>
      <c r="C2065">
        <v>10736.15</v>
      </c>
    </row>
    <row r="2066" spans="2:3" x14ac:dyDescent="0.3">
      <c r="B2066" s="87">
        <v>43250</v>
      </c>
      <c r="C2066">
        <v>10614.35</v>
      </c>
    </row>
    <row r="2067" spans="2:3" x14ac:dyDescent="0.3">
      <c r="B2067" s="87">
        <v>43249</v>
      </c>
      <c r="C2067">
        <v>10633.3</v>
      </c>
    </row>
    <row r="2068" spans="2:3" x14ac:dyDescent="0.3">
      <c r="B2068" s="87">
        <v>43248</v>
      </c>
      <c r="C2068">
        <v>10688.65</v>
      </c>
    </row>
    <row r="2069" spans="2:3" x14ac:dyDescent="0.3">
      <c r="B2069" s="87">
        <v>43245</v>
      </c>
      <c r="C2069">
        <v>10605.15</v>
      </c>
    </row>
    <row r="2070" spans="2:3" x14ac:dyDescent="0.3">
      <c r="B2070" s="87">
        <v>43244</v>
      </c>
      <c r="C2070">
        <v>10513.85</v>
      </c>
    </row>
    <row r="2071" spans="2:3" x14ac:dyDescent="0.3">
      <c r="B2071" s="87">
        <v>43243</v>
      </c>
      <c r="C2071">
        <v>10430.35</v>
      </c>
    </row>
    <row r="2072" spans="2:3" x14ac:dyDescent="0.3">
      <c r="B2072" s="87">
        <v>43242</v>
      </c>
      <c r="C2072">
        <v>10536.7</v>
      </c>
    </row>
    <row r="2073" spans="2:3" x14ac:dyDescent="0.3">
      <c r="B2073" s="87">
        <v>43241</v>
      </c>
      <c r="C2073">
        <v>10516.7</v>
      </c>
    </row>
    <row r="2074" spans="2:3" x14ac:dyDescent="0.3">
      <c r="B2074" s="87">
        <v>43238</v>
      </c>
      <c r="C2074">
        <v>10596.4</v>
      </c>
    </row>
    <row r="2075" spans="2:3" x14ac:dyDescent="0.3">
      <c r="B2075" s="87">
        <v>43237</v>
      </c>
      <c r="C2075">
        <v>10682.7</v>
      </c>
    </row>
    <row r="2076" spans="2:3" x14ac:dyDescent="0.3">
      <c r="B2076" s="87">
        <v>43236</v>
      </c>
      <c r="C2076">
        <v>10741.1</v>
      </c>
    </row>
    <row r="2077" spans="2:3" x14ac:dyDescent="0.3">
      <c r="B2077" s="87">
        <v>43235</v>
      </c>
      <c r="C2077">
        <v>10801.85</v>
      </c>
    </row>
    <row r="2078" spans="2:3" x14ac:dyDescent="0.3">
      <c r="B2078" s="87">
        <v>43234</v>
      </c>
      <c r="C2078">
        <v>10806.6</v>
      </c>
    </row>
    <row r="2079" spans="2:3" x14ac:dyDescent="0.3">
      <c r="B2079" s="87">
        <v>43231</v>
      </c>
      <c r="C2079">
        <v>10806.5</v>
      </c>
    </row>
    <row r="2080" spans="2:3" x14ac:dyDescent="0.3">
      <c r="B2080" s="87">
        <v>43230</v>
      </c>
      <c r="C2080">
        <v>10716.55</v>
      </c>
    </row>
    <row r="2081" spans="2:3" x14ac:dyDescent="0.3">
      <c r="B2081" s="87">
        <v>43229</v>
      </c>
      <c r="C2081">
        <v>10741.7</v>
      </c>
    </row>
    <row r="2082" spans="2:3" x14ac:dyDescent="0.3">
      <c r="B2082" s="87">
        <v>43228</v>
      </c>
      <c r="C2082">
        <v>10717.8</v>
      </c>
    </row>
    <row r="2083" spans="2:3" x14ac:dyDescent="0.3">
      <c r="B2083" s="87">
        <v>43227</v>
      </c>
      <c r="C2083">
        <v>10715.5</v>
      </c>
    </row>
    <row r="2084" spans="2:3" x14ac:dyDescent="0.3">
      <c r="B2084" s="87">
        <v>43224</v>
      </c>
      <c r="C2084">
        <v>10618.25</v>
      </c>
    </row>
    <row r="2085" spans="2:3" x14ac:dyDescent="0.3">
      <c r="B2085" s="87">
        <v>43223</v>
      </c>
      <c r="C2085">
        <v>10679.65</v>
      </c>
    </row>
    <row r="2086" spans="2:3" x14ac:dyDescent="0.3">
      <c r="B2086" s="87">
        <v>43222</v>
      </c>
      <c r="C2086">
        <v>10718.05</v>
      </c>
    </row>
    <row r="2087" spans="2:3" x14ac:dyDescent="0.3">
      <c r="B2087" s="87">
        <v>43220</v>
      </c>
      <c r="C2087">
        <v>10739.35</v>
      </c>
    </row>
    <row r="2088" spans="2:3" x14ac:dyDescent="0.3">
      <c r="B2088" s="87">
        <v>43217</v>
      </c>
      <c r="C2088">
        <v>10692.3</v>
      </c>
    </row>
    <row r="2089" spans="2:3" x14ac:dyDescent="0.3">
      <c r="B2089" s="87">
        <v>43216</v>
      </c>
      <c r="C2089">
        <v>10617.8</v>
      </c>
    </row>
    <row r="2090" spans="2:3" x14ac:dyDescent="0.3">
      <c r="B2090" s="87">
        <v>43215</v>
      </c>
      <c r="C2090">
        <v>10570.55</v>
      </c>
    </row>
    <row r="2091" spans="2:3" x14ac:dyDescent="0.3">
      <c r="B2091" s="87">
        <v>43214</v>
      </c>
      <c r="C2091">
        <v>10614.35</v>
      </c>
    </row>
    <row r="2092" spans="2:3" x14ac:dyDescent="0.3">
      <c r="B2092" s="87">
        <v>43213</v>
      </c>
      <c r="C2092">
        <v>10584.7</v>
      </c>
    </row>
    <row r="2093" spans="2:3" x14ac:dyDescent="0.3">
      <c r="B2093" s="87">
        <v>43210</v>
      </c>
      <c r="C2093">
        <v>10564.05</v>
      </c>
    </row>
    <row r="2094" spans="2:3" x14ac:dyDescent="0.3">
      <c r="B2094" s="87">
        <v>43209</v>
      </c>
      <c r="C2094">
        <v>10565.3</v>
      </c>
    </row>
    <row r="2095" spans="2:3" x14ac:dyDescent="0.3">
      <c r="B2095" s="87">
        <v>43208</v>
      </c>
      <c r="C2095">
        <v>10526.2</v>
      </c>
    </row>
    <row r="2096" spans="2:3" x14ac:dyDescent="0.3">
      <c r="B2096" s="87">
        <v>43207</v>
      </c>
      <c r="C2096">
        <v>10548.7</v>
      </c>
    </row>
    <row r="2097" spans="2:3" x14ac:dyDescent="0.3">
      <c r="B2097" s="87">
        <v>43206</v>
      </c>
      <c r="C2097">
        <v>10528.35</v>
      </c>
    </row>
    <row r="2098" spans="2:3" x14ac:dyDescent="0.3">
      <c r="B2098" s="87">
        <v>43203</v>
      </c>
      <c r="C2098">
        <v>10480.6</v>
      </c>
    </row>
    <row r="2099" spans="2:3" x14ac:dyDescent="0.3">
      <c r="B2099" s="87">
        <v>43202</v>
      </c>
      <c r="C2099">
        <v>10458.65</v>
      </c>
    </row>
    <row r="2100" spans="2:3" x14ac:dyDescent="0.3">
      <c r="B2100" s="87">
        <v>43201</v>
      </c>
      <c r="C2100">
        <v>10417.15</v>
      </c>
    </row>
    <row r="2101" spans="2:3" x14ac:dyDescent="0.3">
      <c r="B2101" s="87">
        <v>43200</v>
      </c>
      <c r="C2101">
        <v>10402.25</v>
      </c>
    </row>
    <row r="2102" spans="2:3" x14ac:dyDescent="0.3">
      <c r="B2102" s="87">
        <v>43199</v>
      </c>
      <c r="C2102">
        <v>10379.35</v>
      </c>
    </row>
    <row r="2103" spans="2:3" x14ac:dyDescent="0.3">
      <c r="B2103" s="87">
        <v>43196</v>
      </c>
      <c r="C2103">
        <v>10331.6</v>
      </c>
    </row>
    <row r="2104" spans="2:3" x14ac:dyDescent="0.3">
      <c r="B2104" s="87">
        <v>43195</v>
      </c>
      <c r="C2104">
        <v>10325.15</v>
      </c>
    </row>
    <row r="2105" spans="2:3" x14ac:dyDescent="0.3">
      <c r="B2105" s="87">
        <v>43194</v>
      </c>
      <c r="C2105">
        <v>10128.4</v>
      </c>
    </row>
    <row r="2106" spans="2:3" x14ac:dyDescent="0.3">
      <c r="B2106" s="87">
        <v>43193</v>
      </c>
      <c r="C2106">
        <v>10245</v>
      </c>
    </row>
    <row r="2107" spans="2:3" x14ac:dyDescent="0.3">
      <c r="B2107" s="87">
        <v>43192</v>
      </c>
      <c r="C2107">
        <v>10211.799999999999</v>
      </c>
    </row>
    <row r="2108" spans="2:3" x14ac:dyDescent="0.3">
      <c r="B2108" s="87">
        <v>43187</v>
      </c>
      <c r="C2108">
        <v>10113.700000000001</v>
      </c>
    </row>
    <row r="2109" spans="2:3" x14ac:dyDescent="0.3">
      <c r="B2109" s="87">
        <v>43186</v>
      </c>
      <c r="C2109">
        <v>10184.15</v>
      </c>
    </row>
    <row r="2110" spans="2:3" x14ac:dyDescent="0.3">
      <c r="B2110" s="87">
        <v>43185</v>
      </c>
      <c r="C2110">
        <v>10130.65</v>
      </c>
    </row>
    <row r="2111" spans="2:3" x14ac:dyDescent="0.3">
      <c r="B2111" s="87">
        <v>43182</v>
      </c>
      <c r="C2111">
        <v>9998.0499999999993</v>
      </c>
    </row>
    <row r="2112" spans="2:3" x14ac:dyDescent="0.3">
      <c r="B2112" s="87">
        <v>43181</v>
      </c>
      <c r="C2112">
        <v>10114.75</v>
      </c>
    </row>
    <row r="2113" spans="2:3" x14ac:dyDescent="0.3">
      <c r="B2113" s="87">
        <v>43180</v>
      </c>
      <c r="C2113">
        <v>10155.25</v>
      </c>
    </row>
    <row r="2114" spans="2:3" x14ac:dyDescent="0.3">
      <c r="B2114" s="87">
        <v>43179</v>
      </c>
      <c r="C2114">
        <v>10124.35</v>
      </c>
    </row>
    <row r="2115" spans="2:3" x14ac:dyDescent="0.3">
      <c r="B2115" s="87">
        <v>43178</v>
      </c>
      <c r="C2115">
        <v>10094.25</v>
      </c>
    </row>
    <row r="2116" spans="2:3" x14ac:dyDescent="0.3">
      <c r="B2116" s="87">
        <v>43175</v>
      </c>
      <c r="C2116">
        <v>10195.15</v>
      </c>
    </row>
    <row r="2117" spans="2:3" x14ac:dyDescent="0.3">
      <c r="B2117" s="87">
        <v>43174</v>
      </c>
      <c r="C2117">
        <v>10360.15</v>
      </c>
    </row>
    <row r="2118" spans="2:3" x14ac:dyDescent="0.3">
      <c r="B2118" s="87">
        <v>43173</v>
      </c>
      <c r="C2118">
        <v>10410.9</v>
      </c>
    </row>
    <row r="2119" spans="2:3" x14ac:dyDescent="0.3">
      <c r="B2119" s="87">
        <v>43172</v>
      </c>
      <c r="C2119">
        <v>10426.85</v>
      </c>
    </row>
    <row r="2120" spans="2:3" x14ac:dyDescent="0.3">
      <c r="B2120" s="87">
        <v>43171</v>
      </c>
      <c r="C2120">
        <v>10421.4</v>
      </c>
    </row>
    <row r="2121" spans="2:3" x14ac:dyDescent="0.3">
      <c r="B2121" s="87">
        <v>43168</v>
      </c>
      <c r="C2121">
        <v>10226.85</v>
      </c>
    </row>
    <row r="2122" spans="2:3" x14ac:dyDescent="0.3">
      <c r="B2122" s="87">
        <v>43167</v>
      </c>
      <c r="C2122">
        <v>10242.65</v>
      </c>
    </row>
    <row r="2123" spans="2:3" x14ac:dyDescent="0.3">
      <c r="B2123" s="87">
        <v>43166</v>
      </c>
      <c r="C2123">
        <v>10154.200000000001</v>
      </c>
    </row>
    <row r="2124" spans="2:3" x14ac:dyDescent="0.3">
      <c r="B2124" s="87">
        <v>43165</v>
      </c>
      <c r="C2124">
        <v>10249.25</v>
      </c>
    </row>
    <row r="2125" spans="2:3" x14ac:dyDescent="0.3">
      <c r="B2125" s="87">
        <v>43164</v>
      </c>
      <c r="C2125">
        <v>10358.85</v>
      </c>
    </row>
    <row r="2126" spans="2:3" x14ac:dyDescent="0.3">
      <c r="B2126" s="87">
        <v>43160</v>
      </c>
      <c r="C2126">
        <v>10458.35</v>
      </c>
    </row>
    <row r="2127" spans="2:3" x14ac:dyDescent="0.3">
      <c r="B2127" s="87">
        <v>43159</v>
      </c>
      <c r="C2127">
        <v>10492.85</v>
      </c>
    </row>
    <row r="2128" spans="2:3" x14ac:dyDescent="0.3">
      <c r="B2128" s="87">
        <v>43158</v>
      </c>
      <c r="C2128">
        <v>10554.3</v>
      </c>
    </row>
    <row r="2129" spans="2:3" x14ac:dyDescent="0.3">
      <c r="B2129" s="87">
        <v>43157</v>
      </c>
      <c r="C2129">
        <v>10582.6</v>
      </c>
    </row>
    <row r="2130" spans="2:3" x14ac:dyDescent="0.3">
      <c r="B2130" s="87">
        <v>43154</v>
      </c>
      <c r="C2130">
        <v>10491.05</v>
      </c>
    </row>
    <row r="2131" spans="2:3" x14ac:dyDescent="0.3">
      <c r="B2131" s="87">
        <v>43153</v>
      </c>
      <c r="C2131">
        <v>10382.700000000001</v>
      </c>
    </row>
    <row r="2132" spans="2:3" x14ac:dyDescent="0.3">
      <c r="B2132" s="87">
        <v>43152</v>
      </c>
      <c r="C2132">
        <v>10397.450000000001</v>
      </c>
    </row>
    <row r="2133" spans="2:3" x14ac:dyDescent="0.3">
      <c r="B2133" s="87">
        <v>43151</v>
      </c>
      <c r="C2133">
        <v>10360.4</v>
      </c>
    </row>
    <row r="2134" spans="2:3" x14ac:dyDescent="0.3">
      <c r="B2134" s="87">
        <v>43150</v>
      </c>
      <c r="C2134">
        <v>10378.4</v>
      </c>
    </row>
    <row r="2135" spans="2:3" x14ac:dyDescent="0.3">
      <c r="B2135" s="87">
        <v>43147</v>
      </c>
      <c r="C2135">
        <v>10452.299999999999</v>
      </c>
    </row>
    <row r="2136" spans="2:3" x14ac:dyDescent="0.3">
      <c r="B2136" s="87">
        <v>43146</v>
      </c>
      <c r="C2136">
        <v>10545.5</v>
      </c>
    </row>
    <row r="2137" spans="2:3" x14ac:dyDescent="0.3">
      <c r="B2137" s="87">
        <v>43145</v>
      </c>
      <c r="C2137">
        <v>10500.9</v>
      </c>
    </row>
    <row r="2138" spans="2:3" x14ac:dyDescent="0.3">
      <c r="B2138" s="87">
        <v>43143</v>
      </c>
      <c r="C2138">
        <v>10539.75</v>
      </c>
    </row>
    <row r="2139" spans="2:3" x14ac:dyDescent="0.3">
      <c r="B2139" s="87">
        <v>43140</v>
      </c>
      <c r="C2139">
        <v>10454.950000000001</v>
      </c>
    </row>
    <row r="2140" spans="2:3" x14ac:dyDescent="0.3">
      <c r="B2140" s="87">
        <v>43139</v>
      </c>
      <c r="C2140">
        <v>10576.85</v>
      </c>
    </row>
    <row r="2141" spans="2:3" x14ac:dyDescent="0.3">
      <c r="B2141" s="87">
        <v>43138</v>
      </c>
      <c r="C2141">
        <v>10476.700000000001</v>
      </c>
    </row>
    <row r="2142" spans="2:3" x14ac:dyDescent="0.3">
      <c r="B2142" s="87">
        <v>43137</v>
      </c>
      <c r="C2142">
        <v>10498.25</v>
      </c>
    </row>
    <row r="2143" spans="2:3" x14ac:dyDescent="0.3">
      <c r="B2143" s="87">
        <v>43136</v>
      </c>
      <c r="C2143">
        <v>10666.55</v>
      </c>
    </row>
    <row r="2144" spans="2:3" x14ac:dyDescent="0.3">
      <c r="B2144" s="87">
        <v>43133</v>
      </c>
      <c r="C2144">
        <v>10760.6</v>
      </c>
    </row>
    <row r="2145" spans="2:3" x14ac:dyDescent="0.3">
      <c r="B2145" s="87">
        <v>43132</v>
      </c>
      <c r="C2145">
        <v>11016.9</v>
      </c>
    </row>
    <row r="2146" spans="2:3" x14ac:dyDescent="0.3">
      <c r="B2146" s="87">
        <v>43131</v>
      </c>
      <c r="C2146">
        <v>11027.7</v>
      </c>
    </row>
    <row r="2147" spans="2:3" x14ac:dyDescent="0.3">
      <c r="B2147" s="87">
        <v>43130</v>
      </c>
      <c r="C2147">
        <v>11049.65</v>
      </c>
    </row>
    <row r="2148" spans="2:3" x14ac:dyDescent="0.3">
      <c r="B2148" s="87">
        <v>43129</v>
      </c>
      <c r="C2148">
        <v>11130.4</v>
      </c>
    </row>
    <row r="2149" spans="2:3" x14ac:dyDescent="0.3">
      <c r="B2149" s="87">
        <v>43125</v>
      </c>
      <c r="C2149">
        <v>11069.65</v>
      </c>
    </row>
    <row r="2150" spans="2:3" x14ac:dyDescent="0.3">
      <c r="B2150" s="87">
        <v>43124</v>
      </c>
      <c r="C2150">
        <v>11086</v>
      </c>
    </row>
    <row r="2151" spans="2:3" x14ac:dyDescent="0.3">
      <c r="B2151" s="87">
        <v>43123</v>
      </c>
      <c r="C2151">
        <v>11083.7</v>
      </c>
    </row>
    <row r="2152" spans="2:3" x14ac:dyDescent="0.3">
      <c r="B2152" s="87">
        <v>43122</v>
      </c>
      <c r="C2152">
        <v>10966.2</v>
      </c>
    </row>
    <row r="2153" spans="2:3" x14ac:dyDescent="0.3">
      <c r="B2153" s="87">
        <v>43119</v>
      </c>
      <c r="C2153">
        <v>10894.7</v>
      </c>
    </row>
    <row r="2154" spans="2:3" x14ac:dyDescent="0.3">
      <c r="B2154" s="87">
        <v>43118</v>
      </c>
      <c r="C2154">
        <v>10817</v>
      </c>
    </row>
    <row r="2155" spans="2:3" x14ac:dyDescent="0.3">
      <c r="B2155" s="87">
        <v>43117</v>
      </c>
      <c r="C2155">
        <v>10788.55</v>
      </c>
    </row>
    <row r="2156" spans="2:3" x14ac:dyDescent="0.3">
      <c r="B2156" s="87">
        <v>43116</v>
      </c>
      <c r="C2156">
        <v>10700.45</v>
      </c>
    </row>
    <row r="2157" spans="2:3" x14ac:dyDescent="0.3">
      <c r="B2157" s="87">
        <v>43115</v>
      </c>
      <c r="C2157">
        <v>10741.55</v>
      </c>
    </row>
    <row r="2158" spans="2:3" x14ac:dyDescent="0.3">
      <c r="B2158" s="87">
        <v>43112</v>
      </c>
      <c r="C2158">
        <v>10681.25</v>
      </c>
    </row>
    <row r="2159" spans="2:3" x14ac:dyDescent="0.3">
      <c r="B2159" s="87">
        <v>43111</v>
      </c>
      <c r="C2159">
        <v>10651.2</v>
      </c>
    </row>
    <row r="2160" spans="2:3" x14ac:dyDescent="0.3">
      <c r="B2160" s="87">
        <v>43110</v>
      </c>
      <c r="C2160">
        <v>10632.2</v>
      </c>
    </row>
    <row r="2161" spans="2:3" x14ac:dyDescent="0.3">
      <c r="B2161" s="87">
        <v>43109</v>
      </c>
      <c r="C2161">
        <v>10637</v>
      </c>
    </row>
    <row r="2162" spans="2:3" x14ac:dyDescent="0.3">
      <c r="B2162" s="87">
        <v>43108</v>
      </c>
      <c r="C2162">
        <v>10623.6</v>
      </c>
    </row>
    <row r="2163" spans="2:3" x14ac:dyDescent="0.3">
      <c r="B2163" s="87">
        <v>43105</v>
      </c>
      <c r="C2163">
        <v>10558.85</v>
      </c>
    </row>
    <row r="2164" spans="2:3" x14ac:dyDescent="0.3">
      <c r="B2164" s="87">
        <v>43104</v>
      </c>
      <c r="C2164">
        <v>10504.8</v>
      </c>
    </row>
    <row r="2165" spans="2:3" x14ac:dyDescent="0.3">
      <c r="B2165" s="87">
        <v>43103</v>
      </c>
      <c r="C2165">
        <v>10443.200000000001</v>
      </c>
    </row>
    <row r="2166" spans="2:3" x14ac:dyDescent="0.3">
      <c r="B2166" s="87">
        <v>43102</v>
      </c>
      <c r="C2166">
        <v>10442.200000000001</v>
      </c>
    </row>
    <row r="2167" spans="2:3" x14ac:dyDescent="0.3">
      <c r="B2167" s="87">
        <v>43101</v>
      </c>
      <c r="C2167">
        <v>10435.549999999999</v>
      </c>
    </row>
    <row r="2168" spans="2:3" x14ac:dyDescent="0.3">
      <c r="B2168" s="87">
        <v>43098</v>
      </c>
      <c r="C2168">
        <v>10530.7</v>
      </c>
    </row>
    <row r="2169" spans="2:3" x14ac:dyDescent="0.3">
      <c r="B2169" s="87">
        <v>43097</v>
      </c>
      <c r="C2169">
        <v>10477.9</v>
      </c>
    </row>
    <row r="2170" spans="2:3" x14ac:dyDescent="0.3">
      <c r="B2170" s="87">
        <v>43096</v>
      </c>
      <c r="C2170">
        <v>10490.75</v>
      </c>
    </row>
    <row r="2171" spans="2:3" x14ac:dyDescent="0.3">
      <c r="B2171" s="87">
        <v>43095</v>
      </c>
      <c r="C2171">
        <v>10531.5</v>
      </c>
    </row>
    <row r="2172" spans="2:3" x14ac:dyDescent="0.3">
      <c r="B2172" s="87">
        <v>43091</v>
      </c>
      <c r="C2172">
        <v>10493</v>
      </c>
    </row>
    <row r="2173" spans="2:3" x14ac:dyDescent="0.3">
      <c r="B2173" s="87">
        <v>43090</v>
      </c>
      <c r="C2173">
        <v>10440.299999999999</v>
      </c>
    </row>
    <row r="2174" spans="2:3" x14ac:dyDescent="0.3">
      <c r="B2174" s="87">
        <v>43089</v>
      </c>
      <c r="C2174">
        <v>10444.200000000001</v>
      </c>
    </row>
    <row r="2175" spans="2:3" x14ac:dyDescent="0.3">
      <c r="B2175" s="87">
        <v>43088</v>
      </c>
      <c r="C2175">
        <v>10463.200000000001</v>
      </c>
    </row>
    <row r="2176" spans="2:3" x14ac:dyDescent="0.3">
      <c r="B2176" s="87">
        <v>43087</v>
      </c>
      <c r="C2176">
        <v>10388.75</v>
      </c>
    </row>
    <row r="2177" spans="2:3" x14ac:dyDescent="0.3">
      <c r="B2177" s="87">
        <v>43084</v>
      </c>
      <c r="C2177">
        <v>10333.25</v>
      </c>
    </row>
    <row r="2178" spans="2:3" x14ac:dyDescent="0.3">
      <c r="B2178" s="87">
        <v>43083</v>
      </c>
      <c r="C2178">
        <v>10252.1</v>
      </c>
    </row>
    <row r="2179" spans="2:3" x14ac:dyDescent="0.3">
      <c r="B2179" s="87">
        <v>43082</v>
      </c>
      <c r="C2179">
        <v>10192.950000000001</v>
      </c>
    </row>
    <row r="2180" spans="2:3" x14ac:dyDescent="0.3">
      <c r="B2180" s="87">
        <v>43081</v>
      </c>
      <c r="C2180">
        <v>10240.15</v>
      </c>
    </row>
    <row r="2181" spans="2:3" x14ac:dyDescent="0.3">
      <c r="B2181" s="87">
        <v>43080</v>
      </c>
      <c r="C2181">
        <v>10322.25</v>
      </c>
    </row>
    <row r="2182" spans="2:3" x14ac:dyDescent="0.3">
      <c r="B2182" s="87">
        <v>43077</v>
      </c>
      <c r="C2182">
        <v>10265.65</v>
      </c>
    </row>
    <row r="2183" spans="2:3" x14ac:dyDescent="0.3">
      <c r="B2183" s="87">
        <v>43076</v>
      </c>
      <c r="C2183">
        <v>10166.700000000001</v>
      </c>
    </row>
    <row r="2184" spans="2:3" x14ac:dyDescent="0.3">
      <c r="B2184" s="87">
        <v>43075</v>
      </c>
      <c r="C2184">
        <v>10044.1</v>
      </c>
    </row>
    <row r="2185" spans="2:3" x14ac:dyDescent="0.3">
      <c r="B2185" s="87">
        <v>43074</v>
      </c>
      <c r="C2185">
        <v>10118.25</v>
      </c>
    </row>
    <row r="2186" spans="2:3" x14ac:dyDescent="0.3">
      <c r="B2186" s="87">
        <v>43073</v>
      </c>
      <c r="C2186">
        <v>10127.75</v>
      </c>
    </row>
    <row r="2187" spans="2:3" x14ac:dyDescent="0.3">
      <c r="B2187" s="87">
        <v>43070</v>
      </c>
      <c r="C2187">
        <v>10121.799999999999</v>
      </c>
    </row>
    <row r="2188" spans="2:3" x14ac:dyDescent="0.3">
      <c r="B2188" s="87">
        <v>43069</v>
      </c>
      <c r="C2188">
        <v>10226.549999999999</v>
      </c>
    </row>
    <row r="2189" spans="2:3" x14ac:dyDescent="0.3">
      <c r="B2189" s="87">
        <v>43068</v>
      </c>
      <c r="C2189">
        <v>10361.299999999999</v>
      </c>
    </row>
    <row r="2190" spans="2:3" x14ac:dyDescent="0.3">
      <c r="B2190" s="87">
        <v>43067</v>
      </c>
      <c r="C2190">
        <v>10370.25</v>
      </c>
    </row>
    <row r="2191" spans="2:3" x14ac:dyDescent="0.3">
      <c r="B2191" s="87">
        <v>43066</v>
      </c>
      <c r="C2191">
        <v>10399.549999999999</v>
      </c>
    </row>
    <row r="2192" spans="2:3" x14ac:dyDescent="0.3">
      <c r="B2192" s="87">
        <v>43063</v>
      </c>
      <c r="C2192">
        <v>10389.700000000001</v>
      </c>
    </row>
    <row r="2193" spans="2:3" x14ac:dyDescent="0.3">
      <c r="B2193" s="87">
        <v>43062</v>
      </c>
      <c r="C2193">
        <v>10348.75</v>
      </c>
    </row>
    <row r="2194" spans="2:3" x14ac:dyDescent="0.3">
      <c r="B2194" s="87">
        <v>43061</v>
      </c>
      <c r="C2194">
        <v>10342.299999999999</v>
      </c>
    </row>
    <row r="2195" spans="2:3" x14ac:dyDescent="0.3">
      <c r="B2195" s="87">
        <v>43060</v>
      </c>
      <c r="C2195">
        <v>10326.9</v>
      </c>
    </row>
    <row r="2196" spans="2:3" x14ac:dyDescent="0.3">
      <c r="B2196" s="87">
        <v>43059</v>
      </c>
      <c r="C2196">
        <v>10298.75</v>
      </c>
    </row>
    <row r="2197" spans="2:3" x14ac:dyDescent="0.3">
      <c r="B2197" s="87">
        <v>43056</v>
      </c>
      <c r="C2197">
        <v>10283.6</v>
      </c>
    </row>
    <row r="2198" spans="2:3" x14ac:dyDescent="0.3">
      <c r="B2198" s="87">
        <v>43055</v>
      </c>
      <c r="C2198">
        <v>10214.75</v>
      </c>
    </row>
    <row r="2199" spans="2:3" x14ac:dyDescent="0.3">
      <c r="B2199" s="87">
        <v>43054</v>
      </c>
      <c r="C2199">
        <v>10118.049999999999</v>
      </c>
    </row>
    <row r="2200" spans="2:3" x14ac:dyDescent="0.3">
      <c r="B2200" s="87">
        <v>43053</v>
      </c>
      <c r="C2200">
        <v>10186.6</v>
      </c>
    </row>
    <row r="2201" spans="2:3" x14ac:dyDescent="0.3">
      <c r="B2201" s="87">
        <v>43052</v>
      </c>
      <c r="C2201">
        <v>10224.950000000001</v>
      </c>
    </row>
    <row r="2202" spans="2:3" x14ac:dyDescent="0.3">
      <c r="B2202" s="87">
        <v>43049</v>
      </c>
      <c r="C2202">
        <v>10321.75</v>
      </c>
    </row>
    <row r="2203" spans="2:3" x14ac:dyDescent="0.3">
      <c r="B2203" s="87">
        <v>43048</v>
      </c>
      <c r="C2203">
        <v>10308.950000000001</v>
      </c>
    </row>
    <row r="2204" spans="2:3" x14ac:dyDescent="0.3">
      <c r="B2204" s="87">
        <v>43047</v>
      </c>
      <c r="C2204">
        <v>10303.15</v>
      </c>
    </row>
    <row r="2205" spans="2:3" x14ac:dyDescent="0.3">
      <c r="B2205" s="87">
        <v>43046</v>
      </c>
      <c r="C2205">
        <v>10350.15</v>
      </c>
    </row>
    <row r="2206" spans="2:3" x14ac:dyDescent="0.3">
      <c r="B2206" s="87">
        <v>43045</v>
      </c>
      <c r="C2206">
        <v>10451.799999999999</v>
      </c>
    </row>
    <row r="2207" spans="2:3" x14ac:dyDescent="0.3">
      <c r="B2207" s="87">
        <v>43042</v>
      </c>
      <c r="C2207">
        <v>10452.5</v>
      </c>
    </row>
    <row r="2208" spans="2:3" x14ac:dyDescent="0.3">
      <c r="B2208" s="87">
        <v>43041</v>
      </c>
      <c r="C2208">
        <v>10423.799999999999</v>
      </c>
    </row>
    <row r="2209" spans="2:3" x14ac:dyDescent="0.3">
      <c r="B2209" s="87">
        <v>43040</v>
      </c>
      <c r="C2209">
        <v>10440.5</v>
      </c>
    </row>
    <row r="2210" spans="2:3" x14ac:dyDescent="0.3">
      <c r="B2210" s="87">
        <v>43039</v>
      </c>
      <c r="C2210">
        <v>10335.299999999999</v>
      </c>
    </row>
    <row r="2211" spans="2:3" x14ac:dyDescent="0.3">
      <c r="B2211" s="87">
        <v>43038</v>
      </c>
      <c r="C2211">
        <v>10363.65</v>
      </c>
    </row>
    <row r="2212" spans="2:3" x14ac:dyDescent="0.3">
      <c r="B2212" s="87">
        <v>43035</v>
      </c>
      <c r="C2212">
        <v>10323.049999999999</v>
      </c>
    </row>
    <row r="2213" spans="2:3" x14ac:dyDescent="0.3">
      <c r="B2213" s="87">
        <v>43034</v>
      </c>
      <c r="C2213">
        <v>10343.799999999999</v>
      </c>
    </row>
    <row r="2214" spans="2:3" x14ac:dyDescent="0.3">
      <c r="B2214" s="87">
        <v>43033</v>
      </c>
      <c r="C2214">
        <v>10295.35</v>
      </c>
    </row>
    <row r="2215" spans="2:3" x14ac:dyDescent="0.3">
      <c r="B2215" s="87">
        <v>43032</v>
      </c>
      <c r="C2215">
        <v>10207.700000000001</v>
      </c>
    </row>
    <row r="2216" spans="2:3" x14ac:dyDescent="0.3">
      <c r="B2216" s="87">
        <v>43031</v>
      </c>
      <c r="C2216">
        <v>10184.85</v>
      </c>
    </row>
    <row r="2217" spans="2:3" x14ac:dyDescent="0.3">
      <c r="B2217" s="87">
        <v>43027</v>
      </c>
      <c r="C2217">
        <v>10146.549999999999</v>
      </c>
    </row>
    <row r="2218" spans="2:3" x14ac:dyDescent="0.3">
      <c r="B2218" s="87">
        <v>43026</v>
      </c>
      <c r="C2218">
        <v>10210.85</v>
      </c>
    </row>
    <row r="2219" spans="2:3" x14ac:dyDescent="0.3">
      <c r="B2219" s="87">
        <v>43025</v>
      </c>
      <c r="C2219">
        <v>10234.450000000001</v>
      </c>
    </row>
    <row r="2220" spans="2:3" x14ac:dyDescent="0.3">
      <c r="B2220" s="87">
        <v>43024</v>
      </c>
      <c r="C2220">
        <v>10230.85</v>
      </c>
    </row>
    <row r="2221" spans="2:3" x14ac:dyDescent="0.3">
      <c r="B2221" s="87">
        <v>43021</v>
      </c>
      <c r="C2221">
        <v>10167.450000000001</v>
      </c>
    </row>
    <row r="2222" spans="2:3" x14ac:dyDescent="0.3">
      <c r="B2222" s="87">
        <v>43020</v>
      </c>
      <c r="C2222">
        <v>10096.4</v>
      </c>
    </row>
    <row r="2223" spans="2:3" x14ac:dyDescent="0.3">
      <c r="B2223" s="87">
        <v>43019</v>
      </c>
      <c r="C2223">
        <v>9984.7999999999993</v>
      </c>
    </row>
    <row r="2224" spans="2:3" x14ac:dyDescent="0.3">
      <c r="B2224" s="87">
        <v>43018</v>
      </c>
      <c r="C2224">
        <v>10016.950000000001</v>
      </c>
    </row>
    <row r="2225" spans="2:3" x14ac:dyDescent="0.3">
      <c r="B2225" s="87">
        <v>43017</v>
      </c>
      <c r="C2225">
        <v>9988.75</v>
      </c>
    </row>
    <row r="2226" spans="2:3" x14ac:dyDescent="0.3">
      <c r="B2226" s="87">
        <v>43014</v>
      </c>
      <c r="C2226">
        <v>9979.7000000000007</v>
      </c>
    </row>
    <row r="2227" spans="2:3" x14ac:dyDescent="0.3">
      <c r="B2227" s="87">
        <v>43013</v>
      </c>
      <c r="C2227">
        <v>9888.7000000000007</v>
      </c>
    </row>
    <row r="2228" spans="2:3" x14ac:dyDescent="0.3">
      <c r="B2228" s="87">
        <v>43012</v>
      </c>
      <c r="C2228">
        <v>9914.9</v>
      </c>
    </row>
    <row r="2229" spans="2:3" x14ac:dyDescent="0.3">
      <c r="B2229" s="87">
        <v>43011</v>
      </c>
      <c r="C2229">
        <v>9859.5</v>
      </c>
    </row>
    <row r="2230" spans="2:3" x14ac:dyDescent="0.3">
      <c r="B2230" s="87">
        <v>43007</v>
      </c>
      <c r="C2230">
        <v>9788.6</v>
      </c>
    </row>
    <row r="2231" spans="2:3" x14ac:dyDescent="0.3">
      <c r="B2231" s="87">
        <v>43006</v>
      </c>
      <c r="C2231">
        <v>9768.9500000000007</v>
      </c>
    </row>
    <row r="2232" spans="2:3" x14ac:dyDescent="0.3">
      <c r="B2232" s="87">
        <v>43005</v>
      </c>
      <c r="C2232">
        <v>9735.75</v>
      </c>
    </row>
    <row r="2233" spans="2:3" x14ac:dyDescent="0.3">
      <c r="B2233" s="87">
        <v>43004</v>
      </c>
      <c r="C2233">
        <v>9871.5</v>
      </c>
    </row>
    <row r="2234" spans="2:3" x14ac:dyDescent="0.3">
      <c r="B2234" s="87">
        <v>43003</v>
      </c>
      <c r="C2234">
        <v>9872.6</v>
      </c>
    </row>
    <row r="2235" spans="2:3" x14ac:dyDescent="0.3">
      <c r="B2235" s="87">
        <v>43000</v>
      </c>
      <c r="C2235">
        <v>9964.4</v>
      </c>
    </row>
    <row r="2236" spans="2:3" x14ac:dyDescent="0.3">
      <c r="B2236" s="87">
        <v>42999</v>
      </c>
      <c r="C2236">
        <v>10121.9</v>
      </c>
    </row>
    <row r="2237" spans="2:3" x14ac:dyDescent="0.3">
      <c r="B2237" s="87">
        <v>42998</v>
      </c>
      <c r="C2237">
        <v>10141.15</v>
      </c>
    </row>
    <row r="2238" spans="2:3" x14ac:dyDescent="0.3">
      <c r="B2238" s="87">
        <v>42997</v>
      </c>
      <c r="C2238">
        <v>10147.549999999999</v>
      </c>
    </row>
    <row r="2239" spans="2:3" x14ac:dyDescent="0.3">
      <c r="B2239" s="87">
        <v>42996</v>
      </c>
      <c r="C2239">
        <v>10153.1</v>
      </c>
    </row>
    <row r="2240" spans="2:3" x14ac:dyDescent="0.3">
      <c r="B2240" s="87">
        <v>42993</v>
      </c>
      <c r="C2240">
        <v>10085.4</v>
      </c>
    </row>
    <row r="2241" spans="2:3" x14ac:dyDescent="0.3">
      <c r="B2241" s="87">
        <v>42992</v>
      </c>
      <c r="C2241">
        <v>10086.6</v>
      </c>
    </row>
    <row r="2242" spans="2:3" x14ac:dyDescent="0.3">
      <c r="B2242" s="87">
        <v>42991</v>
      </c>
      <c r="C2242">
        <v>10079.299999999999</v>
      </c>
    </row>
    <row r="2243" spans="2:3" x14ac:dyDescent="0.3">
      <c r="B2243" s="87">
        <v>42990</v>
      </c>
      <c r="C2243">
        <v>10093.049999999999</v>
      </c>
    </row>
    <row r="2244" spans="2:3" x14ac:dyDescent="0.3">
      <c r="B2244" s="87">
        <v>42989</v>
      </c>
      <c r="C2244">
        <v>10006.049999999999</v>
      </c>
    </row>
    <row r="2245" spans="2:3" x14ac:dyDescent="0.3">
      <c r="B2245" s="87">
        <v>42986</v>
      </c>
      <c r="C2245">
        <v>9934.7999999999993</v>
      </c>
    </row>
    <row r="2246" spans="2:3" x14ac:dyDescent="0.3">
      <c r="B2246" s="87">
        <v>42985</v>
      </c>
      <c r="C2246">
        <v>9929.9</v>
      </c>
    </row>
    <row r="2247" spans="2:3" x14ac:dyDescent="0.3">
      <c r="B2247" s="87">
        <v>42984</v>
      </c>
      <c r="C2247">
        <v>9916.2000000000007</v>
      </c>
    </row>
    <row r="2248" spans="2:3" x14ac:dyDescent="0.3">
      <c r="B2248" s="87">
        <v>42983</v>
      </c>
      <c r="C2248">
        <v>9952.2000000000007</v>
      </c>
    </row>
    <row r="2249" spans="2:3" x14ac:dyDescent="0.3">
      <c r="B2249" s="87">
        <v>42982</v>
      </c>
      <c r="C2249">
        <v>9912.85</v>
      </c>
    </row>
    <row r="2250" spans="2:3" x14ac:dyDescent="0.3">
      <c r="B2250" s="87">
        <v>42979</v>
      </c>
      <c r="C2250">
        <v>9974.4</v>
      </c>
    </row>
    <row r="2251" spans="2:3" x14ac:dyDescent="0.3">
      <c r="B2251" s="87">
        <v>42978</v>
      </c>
      <c r="C2251">
        <v>9917.9</v>
      </c>
    </row>
    <row r="2252" spans="2:3" x14ac:dyDescent="0.3">
      <c r="B2252" s="87">
        <v>42977</v>
      </c>
      <c r="C2252">
        <v>9884.4</v>
      </c>
    </row>
    <row r="2253" spans="2:3" x14ac:dyDescent="0.3">
      <c r="B2253" s="87">
        <v>42976</v>
      </c>
      <c r="C2253">
        <v>9796.0499999999993</v>
      </c>
    </row>
    <row r="2254" spans="2:3" x14ac:dyDescent="0.3">
      <c r="B2254" s="87">
        <v>42975</v>
      </c>
      <c r="C2254">
        <v>9912.7999999999993</v>
      </c>
    </row>
    <row r="2255" spans="2:3" x14ac:dyDescent="0.3">
      <c r="B2255" s="87">
        <v>42971</v>
      </c>
      <c r="C2255">
        <v>9857.0499999999993</v>
      </c>
    </row>
    <row r="2256" spans="2:3" x14ac:dyDescent="0.3">
      <c r="B2256" s="87">
        <v>42970</v>
      </c>
      <c r="C2256">
        <v>9852.5</v>
      </c>
    </row>
    <row r="2257" spans="2:3" x14ac:dyDescent="0.3">
      <c r="B2257" s="87">
        <v>42969</v>
      </c>
      <c r="C2257">
        <v>9765.5499999999993</v>
      </c>
    </row>
    <row r="2258" spans="2:3" x14ac:dyDescent="0.3">
      <c r="B2258" s="87">
        <v>42968</v>
      </c>
      <c r="C2258">
        <v>9754.35</v>
      </c>
    </row>
    <row r="2259" spans="2:3" x14ac:dyDescent="0.3">
      <c r="B2259" s="87">
        <v>42965</v>
      </c>
      <c r="C2259">
        <v>9837.4</v>
      </c>
    </row>
    <row r="2260" spans="2:3" x14ac:dyDescent="0.3">
      <c r="B2260" s="87">
        <v>42964</v>
      </c>
      <c r="C2260">
        <v>9904.15</v>
      </c>
    </row>
    <row r="2261" spans="2:3" x14ac:dyDescent="0.3">
      <c r="B2261" s="87">
        <v>42963</v>
      </c>
      <c r="C2261">
        <v>9897.2999999999993</v>
      </c>
    </row>
    <row r="2262" spans="2:3" x14ac:dyDescent="0.3">
      <c r="B2262" s="87">
        <v>42961</v>
      </c>
      <c r="C2262">
        <v>9794.15</v>
      </c>
    </row>
    <row r="2263" spans="2:3" x14ac:dyDescent="0.3">
      <c r="B2263" s="87">
        <v>42958</v>
      </c>
      <c r="C2263">
        <v>9710.7999999999993</v>
      </c>
    </row>
    <row r="2264" spans="2:3" x14ac:dyDescent="0.3">
      <c r="B2264" s="87">
        <v>42957</v>
      </c>
      <c r="C2264">
        <v>9820.25</v>
      </c>
    </row>
    <row r="2265" spans="2:3" x14ac:dyDescent="0.3">
      <c r="B2265" s="87">
        <v>42956</v>
      </c>
      <c r="C2265">
        <v>9908.0499999999993</v>
      </c>
    </row>
    <row r="2266" spans="2:3" x14ac:dyDescent="0.3">
      <c r="B2266" s="87">
        <v>42955</v>
      </c>
      <c r="C2266">
        <v>9978.5499999999993</v>
      </c>
    </row>
    <row r="2267" spans="2:3" x14ac:dyDescent="0.3">
      <c r="B2267" s="87">
        <v>42954</v>
      </c>
      <c r="C2267">
        <v>10057.4</v>
      </c>
    </row>
    <row r="2268" spans="2:3" x14ac:dyDescent="0.3">
      <c r="B2268" s="87">
        <v>42951</v>
      </c>
      <c r="C2268">
        <v>10066.4</v>
      </c>
    </row>
    <row r="2269" spans="2:3" x14ac:dyDescent="0.3">
      <c r="B2269" s="87">
        <v>42950</v>
      </c>
      <c r="C2269">
        <v>10013.65</v>
      </c>
    </row>
    <row r="2270" spans="2:3" x14ac:dyDescent="0.3">
      <c r="B2270" s="87">
        <v>42949</v>
      </c>
      <c r="C2270">
        <v>10081.5</v>
      </c>
    </row>
    <row r="2271" spans="2:3" x14ac:dyDescent="0.3">
      <c r="B2271" s="87">
        <v>42948</v>
      </c>
      <c r="C2271">
        <v>10114.65</v>
      </c>
    </row>
    <row r="2272" spans="2:3" x14ac:dyDescent="0.3">
      <c r="B2272" s="87">
        <v>42947</v>
      </c>
      <c r="C2272">
        <v>10077.1</v>
      </c>
    </row>
    <row r="2273" spans="2:3" x14ac:dyDescent="0.3">
      <c r="B2273" s="87">
        <v>42944</v>
      </c>
      <c r="C2273">
        <v>10014.5</v>
      </c>
    </row>
    <row r="2274" spans="2:3" x14ac:dyDescent="0.3">
      <c r="B2274" s="87">
        <v>42943</v>
      </c>
      <c r="C2274">
        <v>10020.549999999999</v>
      </c>
    </row>
    <row r="2275" spans="2:3" x14ac:dyDescent="0.3">
      <c r="B2275" s="87">
        <v>42942</v>
      </c>
      <c r="C2275">
        <v>10020.65</v>
      </c>
    </row>
    <row r="2276" spans="2:3" x14ac:dyDescent="0.3">
      <c r="B2276" s="87">
        <v>42941</v>
      </c>
      <c r="C2276">
        <v>9964.5499999999993</v>
      </c>
    </row>
    <row r="2277" spans="2:3" x14ac:dyDescent="0.3">
      <c r="B2277" s="87">
        <v>42940</v>
      </c>
      <c r="C2277">
        <v>9966.4</v>
      </c>
    </row>
    <row r="2278" spans="2:3" x14ac:dyDescent="0.3">
      <c r="B2278" s="87">
        <v>42937</v>
      </c>
      <c r="C2278">
        <v>9915.25</v>
      </c>
    </row>
    <row r="2279" spans="2:3" x14ac:dyDescent="0.3">
      <c r="B2279" s="87">
        <v>42936</v>
      </c>
      <c r="C2279">
        <v>9873.2999999999993</v>
      </c>
    </row>
    <row r="2280" spans="2:3" x14ac:dyDescent="0.3">
      <c r="B2280" s="87">
        <v>42935</v>
      </c>
      <c r="C2280">
        <v>9899.6</v>
      </c>
    </row>
    <row r="2281" spans="2:3" x14ac:dyDescent="0.3">
      <c r="B2281" s="87">
        <v>42934</v>
      </c>
      <c r="C2281">
        <v>9827.15</v>
      </c>
    </row>
    <row r="2282" spans="2:3" x14ac:dyDescent="0.3">
      <c r="B2282" s="87">
        <v>42933</v>
      </c>
      <c r="C2282">
        <v>9915.9500000000007</v>
      </c>
    </row>
    <row r="2283" spans="2:3" x14ac:dyDescent="0.3">
      <c r="B2283" s="87">
        <v>42930</v>
      </c>
      <c r="C2283">
        <v>9886.35</v>
      </c>
    </row>
    <row r="2284" spans="2:3" x14ac:dyDescent="0.3">
      <c r="B2284" s="87">
        <v>42929</v>
      </c>
      <c r="C2284">
        <v>9891.7000000000007</v>
      </c>
    </row>
    <row r="2285" spans="2:3" x14ac:dyDescent="0.3">
      <c r="B2285" s="87">
        <v>42928</v>
      </c>
      <c r="C2285">
        <v>9816.1</v>
      </c>
    </row>
    <row r="2286" spans="2:3" x14ac:dyDescent="0.3">
      <c r="B2286" s="87">
        <v>42927</v>
      </c>
      <c r="C2286">
        <v>9786.0499999999993</v>
      </c>
    </row>
    <row r="2287" spans="2:3" x14ac:dyDescent="0.3">
      <c r="B2287" s="87">
        <v>42926</v>
      </c>
      <c r="C2287">
        <v>9771.0499999999993</v>
      </c>
    </row>
    <row r="2288" spans="2:3" x14ac:dyDescent="0.3">
      <c r="B2288" s="87">
        <v>42923</v>
      </c>
      <c r="C2288">
        <v>9665.7999999999993</v>
      </c>
    </row>
    <row r="2289" spans="2:3" x14ac:dyDescent="0.3">
      <c r="B2289" s="87">
        <v>42922</v>
      </c>
      <c r="C2289">
        <v>9674.5499999999993</v>
      </c>
    </row>
    <row r="2290" spans="2:3" x14ac:dyDescent="0.3">
      <c r="B2290" s="87">
        <v>42921</v>
      </c>
      <c r="C2290">
        <v>9637.6</v>
      </c>
    </row>
    <row r="2291" spans="2:3" x14ac:dyDescent="0.3">
      <c r="B2291" s="87">
        <v>42920</v>
      </c>
      <c r="C2291">
        <v>9613.2999999999993</v>
      </c>
    </row>
    <row r="2292" spans="2:3" x14ac:dyDescent="0.3">
      <c r="B2292" s="87">
        <v>42919</v>
      </c>
      <c r="C2292">
        <v>9615</v>
      </c>
    </row>
    <row r="2293" spans="2:3" x14ac:dyDescent="0.3">
      <c r="B2293" s="87">
        <v>42916</v>
      </c>
      <c r="C2293">
        <v>9520.9</v>
      </c>
    </row>
    <row r="2294" spans="2:3" x14ac:dyDescent="0.3">
      <c r="B2294" s="87">
        <v>42915</v>
      </c>
      <c r="C2294">
        <v>9504.1</v>
      </c>
    </row>
    <row r="2295" spans="2:3" x14ac:dyDescent="0.3">
      <c r="B2295" s="87">
        <v>42914</v>
      </c>
      <c r="C2295">
        <v>9491.25</v>
      </c>
    </row>
    <row r="2296" spans="2:3" x14ac:dyDescent="0.3">
      <c r="B2296" s="87">
        <v>42913</v>
      </c>
      <c r="C2296">
        <v>9511.4</v>
      </c>
    </row>
    <row r="2297" spans="2:3" x14ac:dyDescent="0.3">
      <c r="B2297" s="87">
        <v>42909</v>
      </c>
      <c r="C2297">
        <v>9574.9500000000007</v>
      </c>
    </row>
    <row r="2298" spans="2:3" x14ac:dyDescent="0.3">
      <c r="B2298" s="87">
        <v>42908</v>
      </c>
      <c r="C2298">
        <v>9630</v>
      </c>
    </row>
    <row r="2299" spans="2:3" x14ac:dyDescent="0.3">
      <c r="B2299" s="87">
        <v>42907</v>
      </c>
      <c r="C2299">
        <v>9633.6</v>
      </c>
    </row>
    <row r="2300" spans="2:3" x14ac:dyDescent="0.3">
      <c r="B2300" s="87">
        <v>42906</v>
      </c>
      <c r="C2300">
        <v>9653.5</v>
      </c>
    </row>
    <row r="2301" spans="2:3" x14ac:dyDescent="0.3">
      <c r="B2301" s="87">
        <v>42905</v>
      </c>
      <c r="C2301">
        <v>9657.5499999999993</v>
      </c>
    </row>
    <row r="2302" spans="2:3" x14ac:dyDescent="0.3">
      <c r="B2302" s="87">
        <v>42902</v>
      </c>
      <c r="C2302">
        <v>9588.0499999999993</v>
      </c>
    </row>
    <row r="2303" spans="2:3" x14ac:dyDescent="0.3">
      <c r="B2303" s="87">
        <v>42901</v>
      </c>
      <c r="C2303">
        <v>9578.0499999999993</v>
      </c>
    </row>
    <row r="2304" spans="2:3" x14ac:dyDescent="0.3">
      <c r="B2304" s="87">
        <v>42900</v>
      </c>
      <c r="C2304">
        <v>9618.15</v>
      </c>
    </row>
    <row r="2305" spans="2:3" x14ac:dyDescent="0.3">
      <c r="B2305" s="87">
        <v>42899</v>
      </c>
      <c r="C2305">
        <v>9606.9</v>
      </c>
    </row>
    <row r="2306" spans="2:3" x14ac:dyDescent="0.3">
      <c r="B2306" s="87">
        <v>42898</v>
      </c>
      <c r="C2306">
        <v>9616.4</v>
      </c>
    </row>
    <row r="2307" spans="2:3" x14ac:dyDescent="0.3">
      <c r="B2307" s="87">
        <v>42895</v>
      </c>
      <c r="C2307">
        <v>9668.25</v>
      </c>
    </row>
    <row r="2308" spans="2:3" x14ac:dyDescent="0.3">
      <c r="B2308" s="87">
        <v>42894</v>
      </c>
      <c r="C2308">
        <v>9647.25</v>
      </c>
    </row>
    <row r="2309" spans="2:3" x14ac:dyDescent="0.3">
      <c r="B2309" s="87">
        <v>42893</v>
      </c>
      <c r="C2309">
        <v>9663.9</v>
      </c>
    </row>
    <row r="2310" spans="2:3" x14ac:dyDescent="0.3">
      <c r="B2310" s="87">
        <v>42892</v>
      </c>
      <c r="C2310">
        <v>9637.15</v>
      </c>
    </row>
    <row r="2311" spans="2:3" x14ac:dyDescent="0.3">
      <c r="B2311" s="87">
        <v>42891</v>
      </c>
      <c r="C2311">
        <v>9675.1</v>
      </c>
    </row>
    <row r="2312" spans="2:3" x14ac:dyDescent="0.3">
      <c r="B2312" s="87">
        <v>42888</v>
      </c>
      <c r="C2312">
        <v>9653.5</v>
      </c>
    </row>
    <row r="2313" spans="2:3" x14ac:dyDescent="0.3">
      <c r="B2313" s="87">
        <v>42887</v>
      </c>
      <c r="C2313">
        <v>9616.1</v>
      </c>
    </row>
    <row r="2314" spans="2:3" x14ac:dyDescent="0.3">
      <c r="B2314" s="87">
        <v>42886</v>
      </c>
      <c r="C2314">
        <v>9621.25</v>
      </c>
    </row>
    <row r="2315" spans="2:3" x14ac:dyDescent="0.3">
      <c r="B2315" s="87">
        <v>42885</v>
      </c>
      <c r="C2315">
        <v>9624.5499999999993</v>
      </c>
    </row>
    <row r="2316" spans="2:3" x14ac:dyDescent="0.3">
      <c r="B2316" s="87">
        <v>42884</v>
      </c>
      <c r="C2316">
        <v>9604.9</v>
      </c>
    </row>
    <row r="2317" spans="2:3" x14ac:dyDescent="0.3">
      <c r="B2317" s="87">
        <v>42881</v>
      </c>
      <c r="C2317">
        <v>9595.1</v>
      </c>
    </row>
    <row r="2318" spans="2:3" x14ac:dyDescent="0.3">
      <c r="B2318" s="87">
        <v>42880</v>
      </c>
      <c r="C2318">
        <v>9509.75</v>
      </c>
    </row>
    <row r="2319" spans="2:3" x14ac:dyDescent="0.3">
      <c r="B2319" s="87">
        <v>42879</v>
      </c>
      <c r="C2319">
        <v>9360.5499999999993</v>
      </c>
    </row>
    <row r="2320" spans="2:3" x14ac:dyDescent="0.3">
      <c r="B2320" s="87">
        <v>42878</v>
      </c>
      <c r="C2320">
        <v>9386.15</v>
      </c>
    </row>
    <row r="2321" spans="2:3" x14ac:dyDescent="0.3">
      <c r="B2321" s="87">
        <v>42877</v>
      </c>
      <c r="C2321">
        <v>9438.25</v>
      </c>
    </row>
    <row r="2322" spans="2:3" x14ac:dyDescent="0.3">
      <c r="B2322" s="87">
        <v>42874</v>
      </c>
      <c r="C2322">
        <v>9427.9</v>
      </c>
    </row>
    <row r="2323" spans="2:3" x14ac:dyDescent="0.3">
      <c r="B2323" s="87">
        <v>42873</v>
      </c>
      <c r="C2323">
        <v>9429.4500000000007</v>
      </c>
    </row>
    <row r="2324" spans="2:3" x14ac:dyDescent="0.3">
      <c r="B2324" s="87">
        <v>42872</v>
      </c>
      <c r="C2324">
        <v>9525.75</v>
      </c>
    </row>
    <row r="2325" spans="2:3" x14ac:dyDescent="0.3">
      <c r="B2325" s="87">
        <v>42871</v>
      </c>
      <c r="C2325">
        <v>9512.25</v>
      </c>
    </row>
    <row r="2326" spans="2:3" x14ac:dyDescent="0.3">
      <c r="B2326" s="87">
        <v>42870</v>
      </c>
      <c r="C2326">
        <v>9445.4</v>
      </c>
    </row>
    <row r="2327" spans="2:3" x14ac:dyDescent="0.3">
      <c r="B2327" s="87">
        <v>42867</v>
      </c>
      <c r="C2327">
        <v>9400.9</v>
      </c>
    </row>
    <row r="2328" spans="2:3" x14ac:dyDescent="0.3">
      <c r="B2328" s="87">
        <v>42866</v>
      </c>
      <c r="C2328">
        <v>9422.4</v>
      </c>
    </row>
    <row r="2329" spans="2:3" x14ac:dyDescent="0.3">
      <c r="B2329" s="87">
        <v>42865</v>
      </c>
      <c r="C2329">
        <v>9407.2999999999993</v>
      </c>
    </row>
    <row r="2330" spans="2:3" x14ac:dyDescent="0.3">
      <c r="B2330" s="87">
        <v>42864</v>
      </c>
      <c r="C2330">
        <v>9316.85</v>
      </c>
    </row>
    <row r="2331" spans="2:3" x14ac:dyDescent="0.3">
      <c r="B2331" s="87">
        <v>42863</v>
      </c>
      <c r="C2331">
        <v>9314.0499999999993</v>
      </c>
    </row>
    <row r="2332" spans="2:3" x14ac:dyDescent="0.3">
      <c r="B2332" s="87">
        <v>42860</v>
      </c>
      <c r="C2332">
        <v>9285.2999999999993</v>
      </c>
    </row>
    <row r="2333" spans="2:3" x14ac:dyDescent="0.3">
      <c r="B2333" s="87">
        <v>42859</v>
      </c>
      <c r="C2333">
        <v>9359.9</v>
      </c>
    </row>
    <row r="2334" spans="2:3" x14ac:dyDescent="0.3">
      <c r="B2334" s="87">
        <v>42858</v>
      </c>
      <c r="C2334">
        <v>9311.9500000000007</v>
      </c>
    </row>
    <row r="2335" spans="2:3" x14ac:dyDescent="0.3">
      <c r="B2335" s="87">
        <v>42857</v>
      </c>
      <c r="C2335">
        <v>9313.7999999999993</v>
      </c>
    </row>
    <row r="2336" spans="2:3" x14ac:dyDescent="0.3">
      <c r="B2336" s="87">
        <v>42853</v>
      </c>
      <c r="C2336">
        <v>9304.0499999999993</v>
      </c>
    </row>
    <row r="2337" spans="2:3" x14ac:dyDescent="0.3">
      <c r="B2337" s="87">
        <v>42852</v>
      </c>
      <c r="C2337">
        <v>9342.15</v>
      </c>
    </row>
    <row r="2338" spans="2:3" x14ac:dyDescent="0.3">
      <c r="B2338" s="87">
        <v>42851</v>
      </c>
      <c r="C2338">
        <v>9351.85</v>
      </c>
    </row>
    <row r="2339" spans="2:3" x14ac:dyDescent="0.3">
      <c r="B2339" s="87">
        <v>42850</v>
      </c>
      <c r="C2339">
        <v>9306.6</v>
      </c>
    </row>
    <row r="2340" spans="2:3" x14ac:dyDescent="0.3">
      <c r="B2340" s="87">
        <v>42849</v>
      </c>
      <c r="C2340">
        <v>9217.9500000000007</v>
      </c>
    </row>
    <row r="2341" spans="2:3" x14ac:dyDescent="0.3">
      <c r="B2341" s="87">
        <v>42846</v>
      </c>
      <c r="C2341">
        <v>9119.4</v>
      </c>
    </row>
    <row r="2342" spans="2:3" x14ac:dyDescent="0.3">
      <c r="B2342" s="87">
        <v>42845</v>
      </c>
      <c r="C2342">
        <v>9136.4</v>
      </c>
    </row>
    <row r="2343" spans="2:3" x14ac:dyDescent="0.3">
      <c r="B2343" s="87">
        <v>42844</v>
      </c>
      <c r="C2343">
        <v>9103.5</v>
      </c>
    </row>
    <row r="2344" spans="2:3" x14ac:dyDescent="0.3">
      <c r="B2344" s="87">
        <v>42843</v>
      </c>
      <c r="C2344">
        <v>9105.15</v>
      </c>
    </row>
    <row r="2345" spans="2:3" x14ac:dyDescent="0.3">
      <c r="B2345" s="87">
        <v>42842</v>
      </c>
      <c r="C2345">
        <v>9139.2999999999993</v>
      </c>
    </row>
    <row r="2346" spans="2:3" x14ac:dyDescent="0.3">
      <c r="B2346" s="87">
        <v>42838</v>
      </c>
      <c r="C2346">
        <v>9150.7999999999993</v>
      </c>
    </row>
    <row r="2347" spans="2:3" x14ac:dyDescent="0.3">
      <c r="B2347" s="87">
        <v>42837</v>
      </c>
      <c r="C2347">
        <v>9203.4500000000007</v>
      </c>
    </row>
    <row r="2348" spans="2:3" x14ac:dyDescent="0.3">
      <c r="B2348" s="87">
        <v>42836</v>
      </c>
      <c r="C2348">
        <v>9237</v>
      </c>
    </row>
    <row r="2349" spans="2:3" x14ac:dyDescent="0.3">
      <c r="B2349" s="87">
        <v>42835</v>
      </c>
      <c r="C2349">
        <v>9181.4500000000007</v>
      </c>
    </row>
    <row r="2350" spans="2:3" x14ac:dyDescent="0.3">
      <c r="B2350" s="87">
        <v>42832</v>
      </c>
      <c r="C2350">
        <v>9198.2999999999993</v>
      </c>
    </row>
    <row r="2351" spans="2:3" x14ac:dyDescent="0.3">
      <c r="B2351" s="87">
        <v>42831</v>
      </c>
      <c r="C2351">
        <v>9261.9500000000007</v>
      </c>
    </row>
    <row r="2352" spans="2:3" x14ac:dyDescent="0.3">
      <c r="B2352" s="87">
        <v>42830</v>
      </c>
      <c r="C2352">
        <v>9265.15</v>
      </c>
    </row>
    <row r="2353" spans="2:3" x14ac:dyDescent="0.3">
      <c r="B2353" s="87">
        <v>42828</v>
      </c>
      <c r="C2353">
        <v>9237.85</v>
      </c>
    </row>
    <row r="2354" spans="2:3" x14ac:dyDescent="0.3">
      <c r="B2354" s="87">
        <v>42825</v>
      </c>
      <c r="C2354">
        <v>9173.75</v>
      </c>
    </row>
    <row r="2355" spans="2:3" x14ac:dyDescent="0.3">
      <c r="B2355" s="87">
        <v>42824</v>
      </c>
      <c r="C2355">
        <v>9173.75</v>
      </c>
    </row>
    <row r="2356" spans="2:3" x14ac:dyDescent="0.3">
      <c r="B2356" s="87">
        <v>42823</v>
      </c>
      <c r="C2356">
        <v>9143.7999999999993</v>
      </c>
    </row>
    <row r="2357" spans="2:3" x14ac:dyDescent="0.3">
      <c r="B2357" s="87">
        <v>42822</v>
      </c>
      <c r="C2357">
        <v>9100.7999999999993</v>
      </c>
    </row>
    <row r="2358" spans="2:3" x14ac:dyDescent="0.3">
      <c r="B2358" s="87">
        <v>42821</v>
      </c>
      <c r="C2358">
        <v>9045.2000000000007</v>
      </c>
    </row>
    <row r="2359" spans="2:3" x14ac:dyDescent="0.3">
      <c r="B2359" s="87">
        <v>42818</v>
      </c>
      <c r="C2359">
        <v>9108</v>
      </c>
    </row>
    <row r="2360" spans="2:3" x14ac:dyDescent="0.3">
      <c r="B2360" s="87">
        <v>42817</v>
      </c>
      <c r="C2360">
        <v>9086.2999999999993</v>
      </c>
    </row>
    <row r="2361" spans="2:3" x14ac:dyDescent="0.3">
      <c r="B2361" s="87">
        <v>42816</v>
      </c>
      <c r="C2361">
        <v>9030.4500000000007</v>
      </c>
    </row>
    <row r="2362" spans="2:3" x14ac:dyDescent="0.3">
      <c r="B2362" s="87">
        <v>42815</v>
      </c>
      <c r="C2362">
        <v>9121.5</v>
      </c>
    </row>
    <row r="2363" spans="2:3" x14ac:dyDescent="0.3">
      <c r="B2363" s="87">
        <v>42814</v>
      </c>
      <c r="C2363">
        <v>9126.85</v>
      </c>
    </row>
    <row r="2364" spans="2:3" x14ac:dyDescent="0.3">
      <c r="B2364" s="87">
        <v>42811</v>
      </c>
      <c r="C2364">
        <v>9160.0499999999993</v>
      </c>
    </row>
    <row r="2365" spans="2:3" x14ac:dyDescent="0.3">
      <c r="B2365" s="87">
        <v>42810</v>
      </c>
      <c r="C2365">
        <v>9153.7000000000007</v>
      </c>
    </row>
    <row r="2366" spans="2:3" x14ac:dyDescent="0.3">
      <c r="B2366" s="87">
        <v>42809</v>
      </c>
      <c r="C2366">
        <v>9084.7999999999993</v>
      </c>
    </row>
    <row r="2367" spans="2:3" x14ac:dyDescent="0.3">
      <c r="B2367" s="87">
        <v>42808</v>
      </c>
      <c r="C2367">
        <v>9087</v>
      </c>
    </row>
    <row r="2368" spans="2:3" x14ac:dyDescent="0.3">
      <c r="B2368" s="87">
        <v>42804</v>
      </c>
      <c r="C2368">
        <v>8934.5499999999993</v>
      </c>
    </row>
    <row r="2369" spans="2:3" x14ac:dyDescent="0.3">
      <c r="B2369" s="87">
        <v>42803</v>
      </c>
      <c r="C2369">
        <v>8927</v>
      </c>
    </row>
    <row r="2370" spans="2:3" x14ac:dyDescent="0.3">
      <c r="B2370" s="87">
        <v>42802</v>
      </c>
      <c r="C2370">
        <v>8924.2999999999993</v>
      </c>
    </row>
    <row r="2371" spans="2:3" x14ac:dyDescent="0.3">
      <c r="B2371" s="87">
        <v>42801</v>
      </c>
      <c r="C2371">
        <v>8946.9</v>
      </c>
    </row>
    <row r="2372" spans="2:3" x14ac:dyDescent="0.3">
      <c r="B2372" s="87">
        <v>42800</v>
      </c>
      <c r="C2372">
        <v>8963.4500000000007</v>
      </c>
    </row>
    <row r="2373" spans="2:3" x14ac:dyDescent="0.3">
      <c r="B2373" s="87">
        <v>42797</v>
      </c>
      <c r="C2373">
        <v>8897.5499999999993</v>
      </c>
    </row>
    <row r="2374" spans="2:3" x14ac:dyDescent="0.3">
      <c r="B2374" s="87">
        <v>42796</v>
      </c>
      <c r="C2374">
        <v>8899.75</v>
      </c>
    </row>
    <row r="2375" spans="2:3" x14ac:dyDescent="0.3">
      <c r="B2375" s="87">
        <v>42795</v>
      </c>
      <c r="C2375">
        <v>8945.7999999999993</v>
      </c>
    </row>
    <row r="2376" spans="2:3" x14ac:dyDescent="0.3">
      <c r="B2376" s="87">
        <v>42794</v>
      </c>
      <c r="C2376">
        <v>8879.6</v>
      </c>
    </row>
    <row r="2377" spans="2:3" x14ac:dyDescent="0.3">
      <c r="B2377" s="87">
        <v>42793</v>
      </c>
      <c r="C2377">
        <v>8896.7000000000007</v>
      </c>
    </row>
    <row r="2378" spans="2:3" x14ac:dyDescent="0.3">
      <c r="B2378" s="87">
        <v>42789</v>
      </c>
      <c r="C2378">
        <v>8939.5</v>
      </c>
    </row>
    <row r="2379" spans="2:3" x14ac:dyDescent="0.3">
      <c r="B2379" s="87">
        <v>42788</v>
      </c>
      <c r="C2379">
        <v>8926.9</v>
      </c>
    </row>
    <row r="2380" spans="2:3" x14ac:dyDescent="0.3">
      <c r="B2380" s="87">
        <v>42787</v>
      </c>
      <c r="C2380">
        <v>8907.85</v>
      </c>
    </row>
    <row r="2381" spans="2:3" x14ac:dyDescent="0.3">
      <c r="B2381" s="87">
        <v>42786</v>
      </c>
      <c r="C2381">
        <v>8879.2000000000007</v>
      </c>
    </row>
    <row r="2382" spans="2:3" x14ac:dyDescent="0.3">
      <c r="B2382" s="87">
        <v>42783</v>
      </c>
      <c r="C2382">
        <v>8821.7000000000007</v>
      </c>
    </row>
    <row r="2383" spans="2:3" x14ac:dyDescent="0.3">
      <c r="B2383" s="87">
        <v>42782</v>
      </c>
      <c r="C2383">
        <v>8778</v>
      </c>
    </row>
    <row r="2384" spans="2:3" x14ac:dyDescent="0.3">
      <c r="B2384" s="87">
        <v>42781</v>
      </c>
      <c r="C2384">
        <v>8724.7000000000007</v>
      </c>
    </row>
    <row r="2385" spans="2:3" x14ac:dyDescent="0.3">
      <c r="B2385" s="87">
        <v>42780</v>
      </c>
      <c r="C2385">
        <v>8792.2999999999993</v>
      </c>
    </row>
    <row r="2386" spans="2:3" x14ac:dyDescent="0.3">
      <c r="B2386" s="87">
        <v>42779</v>
      </c>
      <c r="C2386">
        <v>8805.0499999999993</v>
      </c>
    </row>
    <row r="2387" spans="2:3" x14ac:dyDescent="0.3">
      <c r="B2387" s="87">
        <v>42776</v>
      </c>
      <c r="C2387">
        <v>8793.5499999999993</v>
      </c>
    </row>
    <row r="2388" spans="2:3" x14ac:dyDescent="0.3">
      <c r="B2388" s="87">
        <v>42775</v>
      </c>
      <c r="C2388">
        <v>8778.4</v>
      </c>
    </row>
    <row r="2389" spans="2:3" x14ac:dyDescent="0.3">
      <c r="B2389" s="87">
        <v>42774</v>
      </c>
      <c r="C2389">
        <v>8769.0499999999993</v>
      </c>
    </row>
    <row r="2390" spans="2:3" x14ac:dyDescent="0.3">
      <c r="B2390" s="87">
        <v>42773</v>
      </c>
      <c r="C2390">
        <v>8768.2999999999993</v>
      </c>
    </row>
    <row r="2391" spans="2:3" x14ac:dyDescent="0.3">
      <c r="B2391" s="87">
        <v>42772</v>
      </c>
      <c r="C2391">
        <v>8801.0499999999993</v>
      </c>
    </row>
    <row r="2392" spans="2:3" x14ac:dyDescent="0.3">
      <c r="B2392" s="87">
        <v>42769</v>
      </c>
      <c r="C2392">
        <v>8740.9500000000007</v>
      </c>
    </row>
    <row r="2393" spans="2:3" x14ac:dyDescent="0.3">
      <c r="B2393" s="87">
        <v>42768</v>
      </c>
      <c r="C2393">
        <v>8734.25</v>
      </c>
    </row>
    <row r="2394" spans="2:3" x14ac:dyDescent="0.3">
      <c r="B2394" s="87">
        <v>42767</v>
      </c>
      <c r="C2394">
        <v>8716.4</v>
      </c>
    </row>
    <row r="2395" spans="2:3" x14ac:dyDescent="0.3">
      <c r="B2395" s="87">
        <v>42766</v>
      </c>
      <c r="C2395">
        <v>8561.2999999999993</v>
      </c>
    </row>
    <row r="2396" spans="2:3" x14ac:dyDescent="0.3">
      <c r="B2396" s="87">
        <v>42765</v>
      </c>
      <c r="C2396">
        <v>8632.75</v>
      </c>
    </row>
    <row r="2397" spans="2:3" x14ac:dyDescent="0.3">
      <c r="B2397" s="87">
        <v>42762</v>
      </c>
      <c r="C2397">
        <v>8641.25</v>
      </c>
    </row>
    <row r="2398" spans="2:3" x14ac:dyDescent="0.3">
      <c r="B2398" s="87">
        <v>42760</v>
      </c>
      <c r="C2398">
        <v>8602.75</v>
      </c>
    </row>
    <row r="2399" spans="2:3" x14ac:dyDescent="0.3">
      <c r="B2399" s="87">
        <v>42759</v>
      </c>
      <c r="C2399">
        <v>8475.7999999999993</v>
      </c>
    </row>
    <row r="2400" spans="2:3" x14ac:dyDescent="0.3">
      <c r="B2400" s="87">
        <v>42758</v>
      </c>
      <c r="C2400">
        <v>8391.5</v>
      </c>
    </row>
    <row r="2401" spans="2:3" x14ac:dyDescent="0.3">
      <c r="B2401" s="87">
        <v>42755</v>
      </c>
      <c r="C2401">
        <v>8349.35</v>
      </c>
    </row>
    <row r="2402" spans="2:3" x14ac:dyDescent="0.3">
      <c r="B2402" s="87">
        <v>42754</v>
      </c>
      <c r="C2402">
        <v>8435.1</v>
      </c>
    </row>
    <row r="2403" spans="2:3" x14ac:dyDescent="0.3">
      <c r="B2403" s="87">
        <v>42753</v>
      </c>
      <c r="C2403">
        <v>8417</v>
      </c>
    </row>
    <row r="2404" spans="2:3" x14ac:dyDescent="0.3">
      <c r="B2404" s="87">
        <v>42752</v>
      </c>
      <c r="C2404">
        <v>8398</v>
      </c>
    </row>
    <row r="2405" spans="2:3" x14ac:dyDescent="0.3">
      <c r="B2405" s="87">
        <v>42751</v>
      </c>
      <c r="C2405">
        <v>8412.7999999999993</v>
      </c>
    </row>
    <row r="2406" spans="2:3" x14ac:dyDescent="0.3">
      <c r="B2406" s="87">
        <v>42748</v>
      </c>
      <c r="C2406">
        <v>8400.35</v>
      </c>
    </row>
    <row r="2407" spans="2:3" x14ac:dyDescent="0.3">
      <c r="B2407" s="87">
        <v>42747</v>
      </c>
      <c r="C2407">
        <v>8407.2000000000007</v>
      </c>
    </row>
    <row r="2408" spans="2:3" x14ac:dyDescent="0.3">
      <c r="B2408" s="87">
        <v>42746</v>
      </c>
      <c r="C2408">
        <v>8380.65</v>
      </c>
    </row>
    <row r="2409" spans="2:3" x14ac:dyDescent="0.3">
      <c r="B2409" s="87">
        <v>42745</v>
      </c>
      <c r="C2409">
        <v>8288.6</v>
      </c>
    </row>
    <row r="2410" spans="2:3" x14ac:dyDescent="0.3">
      <c r="B2410" s="87">
        <v>42744</v>
      </c>
      <c r="C2410">
        <v>8236.0499999999993</v>
      </c>
    </row>
    <row r="2411" spans="2:3" x14ac:dyDescent="0.3">
      <c r="B2411" s="87">
        <v>42741</v>
      </c>
      <c r="C2411">
        <v>8243.7999999999993</v>
      </c>
    </row>
    <row r="2412" spans="2:3" x14ac:dyDescent="0.3">
      <c r="B2412" s="87">
        <v>42740</v>
      </c>
      <c r="C2412">
        <v>8273.7999999999993</v>
      </c>
    </row>
    <row r="2413" spans="2:3" x14ac:dyDescent="0.3">
      <c r="B2413" s="87">
        <v>42739</v>
      </c>
      <c r="C2413">
        <v>8190.5</v>
      </c>
    </row>
    <row r="2414" spans="2:3" x14ac:dyDescent="0.3">
      <c r="B2414" s="87">
        <v>42738</v>
      </c>
      <c r="C2414">
        <v>8192.25</v>
      </c>
    </row>
    <row r="2415" spans="2:3" x14ac:dyDescent="0.3">
      <c r="B2415" s="87">
        <v>42737</v>
      </c>
      <c r="C2415">
        <v>8179.5</v>
      </c>
    </row>
    <row r="2416" spans="2:3" x14ac:dyDescent="0.3">
      <c r="B2416" s="87">
        <v>42734</v>
      </c>
      <c r="C2416">
        <v>8185.8</v>
      </c>
    </row>
    <row r="2417" spans="2:3" x14ac:dyDescent="0.3">
      <c r="B2417" s="87">
        <v>42733</v>
      </c>
      <c r="C2417">
        <v>8103.6</v>
      </c>
    </row>
    <row r="2418" spans="2:3" x14ac:dyDescent="0.3">
      <c r="B2418" s="87">
        <v>42732</v>
      </c>
      <c r="C2418">
        <v>8034.85</v>
      </c>
    </row>
    <row r="2419" spans="2:3" x14ac:dyDescent="0.3">
      <c r="B2419" s="87">
        <v>42731</v>
      </c>
      <c r="C2419">
        <v>8032.85</v>
      </c>
    </row>
    <row r="2420" spans="2:3" x14ac:dyDescent="0.3">
      <c r="B2420" s="87">
        <v>42730</v>
      </c>
      <c r="C2420">
        <v>7908.25</v>
      </c>
    </row>
    <row r="2421" spans="2:3" x14ac:dyDescent="0.3">
      <c r="B2421" s="87">
        <v>42727</v>
      </c>
      <c r="C2421">
        <v>7985.75</v>
      </c>
    </row>
    <row r="2422" spans="2:3" x14ac:dyDescent="0.3">
      <c r="B2422" s="87">
        <v>42726</v>
      </c>
      <c r="C2422">
        <v>7979.1</v>
      </c>
    </row>
    <row r="2423" spans="2:3" x14ac:dyDescent="0.3">
      <c r="B2423" s="87">
        <v>42725</v>
      </c>
      <c r="C2423">
        <v>8061.3</v>
      </c>
    </row>
    <row r="2424" spans="2:3" x14ac:dyDescent="0.3">
      <c r="B2424" s="87">
        <v>42724</v>
      </c>
      <c r="C2424">
        <v>8082.4</v>
      </c>
    </row>
    <row r="2425" spans="2:3" x14ac:dyDescent="0.3">
      <c r="B2425" s="87">
        <v>42723</v>
      </c>
      <c r="C2425">
        <v>8104.35</v>
      </c>
    </row>
    <row r="2426" spans="2:3" x14ac:dyDescent="0.3">
      <c r="B2426" s="87">
        <v>42720</v>
      </c>
      <c r="C2426">
        <v>8139.45</v>
      </c>
    </row>
    <row r="2427" spans="2:3" x14ac:dyDescent="0.3">
      <c r="B2427" s="87">
        <v>42719</v>
      </c>
      <c r="C2427">
        <v>8153.6</v>
      </c>
    </row>
    <row r="2428" spans="2:3" x14ac:dyDescent="0.3">
      <c r="B2428" s="87">
        <v>42718</v>
      </c>
      <c r="C2428">
        <v>8182.45</v>
      </c>
    </row>
    <row r="2429" spans="2:3" x14ac:dyDescent="0.3">
      <c r="B2429" s="87">
        <v>42717</v>
      </c>
      <c r="C2429">
        <v>8221.7999999999993</v>
      </c>
    </row>
    <row r="2430" spans="2:3" x14ac:dyDescent="0.3">
      <c r="B2430" s="87">
        <v>42716</v>
      </c>
      <c r="C2430">
        <v>8170.8</v>
      </c>
    </row>
    <row r="2431" spans="2:3" x14ac:dyDescent="0.3">
      <c r="B2431" s="87">
        <v>42713</v>
      </c>
      <c r="C2431">
        <v>8261.75</v>
      </c>
    </row>
    <row r="2432" spans="2:3" x14ac:dyDescent="0.3">
      <c r="B2432" s="87">
        <v>42712</v>
      </c>
      <c r="C2432">
        <v>8246.85</v>
      </c>
    </row>
    <row r="2433" spans="2:3" x14ac:dyDescent="0.3">
      <c r="B2433" s="87">
        <v>42711</v>
      </c>
      <c r="C2433">
        <v>8102.05</v>
      </c>
    </row>
    <row r="2434" spans="2:3" x14ac:dyDescent="0.3">
      <c r="B2434" s="87">
        <v>42710</v>
      </c>
      <c r="C2434">
        <v>8143.15</v>
      </c>
    </row>
    <row r="2435" spans="2:3" x14ac:dyDescent="0.3">
      <c r="B2435" s="87">
        <v>42709</v>
      </c>
      <c r="C2435">
        <v>8128.75</v>
      </c>
    </row>
    <row r="2436" spans="2:3" x14ac:dyDescent="0.3">
      <c r="B2436" s="87">
        <v>42706</v>
      </c>
      <c r="C2436">
        <v>8086.8</v>
      </c>
    </row>
    <row r="2437" spans="2:3" x14ac:dyDescent="0.3">
      <c r="B2437" s="87">
        <v>42705</v>
      </c>
      <c r="C2437">
        <v>8192.9</v>
      </c>
    </row>
    <row r="2438" spans="2:3" x14ac:dyDescent="0.3">
      <c r="B2438" s="87">
        <v>42704</v>
      </c>
      <c r="C2438">
        <v>8224.5</v>
      </c>
    </row>
    <row r="2439" spans="2:3" x14ac:dyDescent="0.3">
      <c r="B2439" s="87">
        <v>42703</v>
      </c>
      <c r="C2439">
        <v>8142.15</v>
      </c>
    </row>
    <row r="2440" spans="2:3" x14ac:dyDescent="0.3">
      <c r="B2440" s="87">
        <v>42702</v>
      </c>
      <c r="C2440">
        <v>8126.9</v>
      </c>
    </row>
    <row r="2441" spans="2:3" x14ac:dyDescent="0.3">
      <c r="B2441" s="87">
        <v>42699</v>
      </c>
      <c r="C2441">
        <v>8114.3</v>
      </c>
    </row>
    <row r="2442" spans="2:3" x14ac:dyDescent="0.3">
      <c r="B2442" s="87">
        <v>42698</v>
      </c>
      <c r="C2442">
        <v>7965.5</v>
      </c>
    </row>
    <row r="2443" spans="2:3" x14ac:dyDescent="0.3">
      <c r="B2443" s="87">
        <v>42697</v>
      </c>
      <c r="C2443">
        <v>8033.3</v>
      </c>
    </row>
    <row r="2444" spans="2:3" x14ac:dyDescent="0.3">
      <c r="B2444" s="87">
        <v>42696</v>
      </c>
      <c r="C2444">
        <v>8002.3</v>
      </c>
    </row>
    <row r="2445" spans="2:3" x14ac:dyDescent="0.3">
      <c r="B2445" s="87">
        <v>42695</v>
      </c>
      <c r="C2445">
        <v>7929.1</v>
      </c>
    </row>
    <row r="2446" spans="2:3" x14ac:dyDescent="0.3">
      <c r="B2446" s="87">
        <v>42692</v>
      </c>
      <c r="C2446">
        <v>8074.1</v>
      </c>
    </row>
    <row r="2447" spans="2:3" x14ac:dyDescent="0.3">
      <c r="B2447" s="87">
        <v>42691</v>
      </c>
      <c r="C2447">
        <v>8079.95</v>
      </c>
    </row>
    <row r="2448" spans="2:3" x14ac:dyDescent="0.3">
      <c r="B2448" s="87">
        <v>42690</v>
      </c>
      <c r="C2448">
        <v>8111.6</v>
      </c>
    </row>
    <row r="2449" spans="2:3" x14ac:dyDescent="0.3">
      <c r="B2449" s="87">
        <v>42689</v>
      </c>
      <c r="C2449">
        <v>8108.45</v>
      </c>
    </row>
    <row r="2450" spans="2:3" x14ac:dyDescent="0.3">
      <c r="B2450" s="87">
        <v>42685</v>
      </c>
      <c r="C2450">
        <v>8296.2999999999993</v>
      </c>
    </row>
    <row r="2451" spans="2:3" x14ac:dyDescent="0.3">
      <c r="B2451" s="87">
        <v>42684</v>
      </c>
      <c r="C2451">
        <v>8525.75</v>
      </c>
    </row>
    <row r="2452" spans="2:3" x14ac:dyDescent="0.3">
      <c r="B2452" s="87">
        <v>42683</v>
      </c>
      <c r="C2452">
        <v>8432</v>
      </c>
    </row>
    <row r="2453" spans="2:3" x14ac:dyDescent="0.3">
      <c r="B2453" s="87">
        <v>42682</v>
      </c>
      <c r="C2453">
        <v>8543.5499999999993</v>
      </c>
    </row>
    <row r="2454" spans="2:3" x14ac:dyDescent="0.3">
      <c r="B2454" s="87">
        <v>42681</v>
      </c>
      <c r="C2454">
        <v>8497.0499999999993</v>
      </c>
    </row>
    <row r="2455" spans="2:3" x14ac:dyDescent="0.3">
      <c r="B2455" s="87">
        <v>42678</v>
      </c>
      <c r="C2455">
        <v>8433.75</v>
      </c>
    </row>
    <row r="2456" spans="2:3" x14ac:dyDescent="0.3">
      <c r="B2456" s="87">
        <v>42677</v>
      </c>
      <c r="C2456">
        <v>8484.9500000000007</v>
      </c>
    </row>
    <row r="2457" spans="2:3" x14ac:dyDescent="0.3">
      <c r="B2457" s="87">
        <v>42676</v>
      </c>
      <c r="C2457">
        <v>8514</v>
      </c>
    </row>
    <row r="2458" spans="2:3" x14ac:dyDescent="0.3">
      <c r="B2458" s="87">
        <v>42675</v>
      </c>
      <c r="C2458">
        <v>8626.25</v>
      </c>
    </row>
    <row r="2459" spans="2:3" x14ac:dyDescent="0.3">
      <c r="B2459" s="87">
        <v>42673</v>
      </c>
      <c r="C2459">
        <v>8625.7000000000007</v>
      </c>
    </row>
    <row r="2460" spans="2:3" x14ac:dyDescent="0.3">
      <c r="B2460" s="87">
        <v>42671</v>
      </c>
      <c r="C2460">
        <v>8638</v>
      </c>
    </row>
    <row r="2461" spans="2:3" x14ac:dyDescent="0.3">
      <c r="B2461" s="87">
        <v>42670</v>
      </c>
      <c r="C2461">
        <v>8615.25</v>
      </c>
    </row>
    <row r="2462" spans="2:3" x14ac:dyDescent="0.3">
      <c r="B2462" s="87">
        <v>42669</v>
      </c>
      <c r="C2462">
        <v>8615.25</v>
      </c>
    </row>
    <row r="2463" spans="2:3" x14ac:dyDescent="0.3">
      <c r="B2463" s="87">
        <v>42668</v>
      </c>
      <c r="C2463">
        <v>8691.2999999999993</v>
      </c>
    </row>
    <row r="2464" spans="2:3" x14ac:dyDescent="0.3">
      <c r="B2464" s="87">
        <v>42667</v>
      </c>
      <c r="C2464">
        <v>8708.9500000000007</v>
      </c>
    </row>
    <row r="2465" spans="2:3" x14ac:dyDescent="0.3">
      <c r="B2465" s="87">
        <v>42664</v>
      </c>
      <c r="C2465">
        <v>8693.0499999999993</v>
      </c>
    </row>
    <row r="2466" spans="2:3" x14ac:dyDescent="0.3">
      <c r="B2466" s="87">
        <v>42663</v>
      </c>
      <c r="C2466">
        <v>8699.4</v>
      </c>
    </row>
    <row r="2467" spans="2:3" x14ac:dyDescent="0.3">
      <c r="B2467" s="87">
        <v>42662</v>
      </c>
      <c r="C2467">
        <v>8659.1</v>
      </c>
    </row>
    <row r="2468" spans="2:3" x14ac:dyDescent="0.3">
      <c r="B2468" s="87">
        <v>42661</v>
      </c>
      <c r="C2468">
        <v>8677.9</v>
      </c>
    </row>
    <row r="2469" spans="2:3" x14ac:dyDescent="0.3">
      <c r="B2469" s="87">
        <v>42660</v>
      </c>
      <c r="C2469">
        <v>8520.4</v>
      </c>
    </row>
    <row r="2470" spans="2:3" x14ac:dyDescent="0.3">
      <c r="B2470" s="87">
        <v>42657</v>
      </c>
      <c r="C2470">
        <v>8583.4</v>
      </c>
    </row>
    <row r="2471" spans="2:3" x14ac:dyDescent="0.3">
      <c r="B2471" s="87">
        <v>42656</v>
      </c>
      <c r="C2471">
        <v>8573.35</v>
      </c>
    </row>
    <row r="2472" spans="2:3" x14ac:dyDescent="0.3">
      <c r="B2472" s="87">
        <v>42653</v>
      </c>
      <c r="C2472">
        <v>8708.7999999999993</v>
      </c>
    </row>
    <row r="2473" spans="2:3" x14ac:dyDescent="0.3">
      <c r="B2473" s="87">
        <v>42650</v>
      </c>
      <c r="C2473">
        <v>8697.6</v>
      </c>
    </row>
    <row r="2474" spans="2:3" x14ac:dyDescent="0.3">
      <c r="B2474" s="87">
        <v>42649</v>
      </c>
      <c r="C2474">
        <v>8709.5499999999993</v>
      </c>
    </row>
    <row r="2475" spans="2:3" x14ac:dyDescent="0.3">
      <c r="B2475" s="87">
        <v>42648</v>
      </c>
      <c r="C2475">
        <v>8743.9500000000007</v>
      </c>
    </row>
    <row r="2476" spans="2:3" x14ac:dyDescent="0.3">
      <c r="B2476" s="87">
        <v>42647</v>
      </c>
      <c r="C2476">
        <v>8769.15</v>
      </c>
    </row>
    <row r="2477" spans="2:3" x14ac:dyDescent="0.3">
      <c r="B2477" s="87">
        <v>42646</v>
      </c>
      <c r="C2477">
        <v>8738.1</v>
      </c>
    </row>
    <row r="2478" spans="2:3" x14ac:dyDescent="0.3">
      <c r="B2478" s="87">
        <v>42643</v>
      </c>
      <c r="C2478">
        <v>8611.15</v>
      </c>
    </row>
    <row r="2479" spans="2:3" x14ac:dyDescent="0.3">
      <c r="B2479" s="87">
        <v>42642</v>
      </c>
      <c r="C2479">
        <v>8591.25</v>
      </c>
    </row>
    <row r="2480" spans="2:3" x14ac:dyDescent="0.3">
      <c r="B2480" s="87">
        <v>42641</v>
      </c>
      <c r="C2480">
        <v>8745.15</v>
      </c>
    </row>
    <row r="2481" spans="2:3" x14ac:dyDescent="0.3">
      <c r="B2481" s="87">
        <v>42640</v>
      </c>
      <c r="C2481">
        <v>8706.4</v>
      </c>
    </row>
    <row r="2482" spans="2:3" x14ac:dyDescent="0.3">
      <c r="B2482" s="87">
        <v>42639</v>
      </c>
      <c r="C2482">
        <v>8723.0499999999993</v>
      </c>
    </row>
    <row r="2483" spans="2:3" x14ac:dyDescent="0.3">
      <c r="B2483" s="87">
        <v>42636</v>
      </c>
      <c r="C2483">
        <v>8831.5499999999993</v>
      </c>
    </row>
    <row r="2484" spans="2:3" x14ac:dyDescent="0.3">
      <c r="B2484" s="87">
        <v>42635</v>
      </c>
      <c r="C2484">
        <v>8867.4500000000007</v>
      </c>
    </row>
    <row r="2485" spans="2:3" x14ac:dyDescent="0.3">
      <c r="B2485" s="87">
        <v>42634</v>
      </c>
      <c r="C2485">
        <v>8777.15</v>
      </c>
    </row>
    <row r="2486" spans="2:3" x14ac:dyDescent="0.3">
      <c r="B2486" s="87">
        <v>42633</v>
      </c>
      <c r="C2486">
        <v>8775.9</v>
      </c>
    </row>
    <row r="2487" spans="2:3" x14ac:dyDescent="0.3">
      <c r="B2487" s="87">
        <v>42632</v>
      </c>
      <c r="C2487">
        <v>8808.4</v>
      </c>
    </row>
    <row r="2488" spans="2:3" x14ac:dyDescent="0.3">
      <c r="B2488" s="87">
        <v>42629</v>
      </c>
      <c r="C2488">
        <v>8779.85</v>
      </c>
    </row>
    <row r="2489" spans="2:3" x14ac:dyDescent="0.3">
      <c r="B2489" s="87">
        <v>42628</v>
      </c>
      <c r="C2489">
        <v>8742.5499999999993</v>
      </c>
    </row>
    <row r="2490" spans="2:3" x14ac:dyDescent="0.3">
      <c r="B2490" s="87">
        <v>42627</v>
      </c>
      <c r="C2490">
        <v>8726.6</v>
      </c>
    </row>
    <row r="2491" spans="2:3" x14ac:dyDescent="0.3">
      <c r="B2491" s="87">
        <v>42625</v>
      </c>
      <c r="C2491">
        <v>8715.6</v>
      </c>
    </row>
    <row r="2492" spans="2:3" x14ac:dyDescent="0.3">
      <c r="B2492" s="87">
        <v>42622</v>
      </c>
      <c r="C2492">
        <v>8866.7000000000007</v>
      </c>
    </row>
    <row r="2493" spans="2:3" x14ac:dyDescent="0.3">
      <c r="B2493" s="87">
        <v>42621</v>
      </c>
      <c r="C2493">
        <v>8952.5</v>
      </c>
    </row>
    <row r="2494" spans="2:3" x14ac:dyDescent="0.3">
      <c r="B2494" s="87">
        <v>42620</v>
      </c>
      <c r="C2494">
        <v>8917.9500000000007</v>
      </c>
    </row>
    <row r="2495" spans="2:3" x14ac:dyDescent="0.3">
      <c r="B2495" s="87">
        <v>42619</v>
      </c>
      <c r="C2495">
        <v>8943</v>
      </c>
    </row>
    <row r="2496" spans="2:3" x14ac:dyDescent="0.3">
      <c r="B2496" s="87">
        <v>42615</v>
      </c>
      <c r="C2496">
        <v>8809.65</v>
      </c>
    </row>
    <row r="2497" spans="2:3" x14ac:dyDescent="0.3">
      <c r="B2497" s="87">
        <v>42614</v>
      </c>
      <c r="C2497">
        <v>8774.65</v>
      </c>
    </row>
    <row r="2498" spans="2:3" x14ac:dyDescent="0.3">
      <c r="B2498" s="87">
        <v>42613</v>
      </c>
      <c r="C2498">
        <v>8786.2000000000007</v>
      </c>
    </row>
    <row r="2499" spans="2:3" x14ac:dyDescent="0.3">
      <c r="B2499" s="87">
        <v>42612</v>
      </c>
      <c r="C2499">
        <v>8744.35</v>
      </c>
    </row>
    <row r="2500" spans="2:3" x14ac:dyDescent="0.3">
      <c r="B2500" s="87">
        <v>42611</v>
      </c>
      <c r="C2500">
        <v>8607.4500000000007</v>
      </c>
    </row>
    <row r="2501" spans="2:3" x14ac:dyDescent="0.3">
      <c r="B2501" s="87">
        <v>42608</v>
      </c>
      <c r="C2501">
        <v>8572.5499999999993</v>
      </c>
    </row>
    <row r="2502" spans="2:3" x14ac:dyDescent="0.3">
      <c r="B2502" s="87">
        <v>42607</v>
      </c>
      <c r="C2502">
        <v>8592.2000000000007</v>
      </c>
    </row>
    <row r="2503" spans="2:3" x14ac:dyDescent="0.3">
      <c r="B2503" s="87">
        <v>42606</v>
      </c>
      <c r="C2503">
        <v>8650.2999999999993</v>
      </c>
    </row>
    <row r="2504" spans="2:3" x14ac:dyDescent="0.3">
      <c r="B2504" s="87">
        <v>42605</v>
      </c>
      <c r="C2504">
        <v>8632.6</v>
      </c>
    </row>
    <row r="2505" spans="2:3" x14ac:dyDescent="0.3">
      <c r="B2505" s="87">
        <v>42604</v>
      </c>
      <c r="C2505">
        <v>8629.15</v>
      </c>
    </row>
    <row r="2506" spans="2:3" x14ac:dyDescent="0.3">
      <c r="B2506" s="87">
        <v>42601</v>
      </c>
      <c r="C2506">
        <v>8666.9</v>
      </c>
    </row>
    <row r="2507" spans="2:3" x14ac:dyDescent="0.3">
      <c r="B2507" s="87">
        <v>42600</v>
      </c>
      <c r="C2507">
        <v>8673.25</v>
      </c>
    </row>
    <row r="2508" spans="2:3" x14ac:dyDescent="0.3">
      <c r="B2508" s="87">
        <v>42599</v>
      </c>
      <c r="C2508">
        <v>8624.0499999999993</v>
      </c>
    </row>
    <row r="2509" spans="2:3" x14ac:dyDescent="0.3">
      <c r="B2509" s="87">
        <v>42598</v>
      </c>
      <c r="C2509">
        <v>8642.5499999999993</v>
      </c>
    </row>
    <row r="2510" spans="2:3" x14ac:dyDescent="0.3">
      <c r="B2510" s="87">
        <v>42594</v>
      </c>
      <c r="C2510">
        <v>8672.15</v>
      </c>
    </row>
    <row r="2511" spans="2:3" x14ac:dyDescent="0.3">
      <c r="B2511" s="87">
        <v>42593</v>
      </c>
      <c r="C2511">
        <v>8592.15</v>
      </c>
    </row>
    <row r="2512" spans="2:3" x14ac:dyDescent="0.3">
      <c r="B2512" s="87">
        <v>42592</v>
      </c>
      <c r="C2512">
        <v>8575.2999999999993</v>
      </c>
    </row>
    <row r="2513" spans="2:3" x14ac:dyDescent="0.3">
      <c r="B2513" s="87">
        <v>42591</v>
      </c>
      <c r="C2513">
        <v>8678.25</v>
      </c>
    </row>
    <row r="2514" spans="2:3" x14ac:dyDescent="0.3">
      <c r="B2514" s="87">
        <v>42590</v>
      </c>
      <c r="C2514">
        <v>8711.35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4B2B7-B798-4EA0-8A8B-E0F4B6A7BF36}">
  <dimension ref="B2:N19"/>
  <sheetViews>
    <sheetView showGridLines="0" workbookViewId="0">
      <selection activeCell="G19" sqref="G19"/>
    </sheetView>
  </sheetViews>
  <sheetFormatPr defaultRowHeight="14.4" x14ac:dyDescent="0.3"/>
  <cols>
    <col min="2" max="2" width="40.44140625" bestFit="1" customWidth="1"/>
    <col min="4" max="4" width="10.44140625" bestFit="1" customWidth="1"/>
    <col min="5" max="5" width="8.5546875" customWidth="1"/>
    <col min="6" max="6" width="8.77734375" customWidth="1"/>
  </cols>
  <sheetData>
    <row r="2" spans="2:14" ht="28.8" x14ac:dyDescent="0.55000000000000004">
      <c r="B2" s="15" t="str">
        <f>Model!B2</f>
        <v>Hindustan Uniliver Ltd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x14ac:dyDescent="0.3">
      <c r="B3" s="16" t="str">
        <f>Model!B3</f>
        <v>HINDUNILVR | 500696</v>
      </c>
      <c r="C3" s="2"/>
      <c r="D3" s="2"/>
      <c r="E3" s="17"/>
      <c r="F3" s="17"/>
      <c r="G3" s="17"/>
      <c r="H3" s="17"/>
      <c r="I3" s="43"/>
      <c r="J3" s="43"/>
      <c r="K3" s="43"/>
      <c r="L3" s="43"/>
      <c r="M3" s="43"/>
      <c r="N3" s="43"/>
    </row>
    <row r="4" spans="2:14" x14ac:dyDescent="0.3">
      <c r="B4" s="16" t="str">
        <f>Model!B4</f>
        <v>Financial Statement &amp; DCF Analysis</v>
      </c>
      <c r="C4" s="2"/>
      <c r="D4" s="2"/>
      <c r="E4" s="18"/>
      <c r="F4" s="18"/>
      <c r="G4" s="18"/>
      <c r="H4" s="18"/>
      <c r="I4" s="44"/>
      <c r="J4" s="44"/>
      <c r="K4" s="44"/>
      <c r="L4" s="44"/>
      <c r="M4" s="44"/>
      <c r="N4" s="44"/>
    </row>
    <row r="6" spans="2:14" x14ac:dyDescent="0.3">
      <c r="B6" s="45" t="s">
        <v>251</v>
      </c>
      <c r="C6" s="46"/>
      <c r="D6" s="45" t="s">
        <v>252</v>
      </c>
      <c r="E6">
        <f>Model!J4</f>
        <v>2027</v>
      </c>
      <c r="F6">
        <f>Model!K4</f>
        <v>2028</v>
      </c>
      <c r="G6">
        <f>Model!L4</f>
        <v>2029</v>
      </c>
      <c r="H6">
        <f>Model!M4</f>
        <v>2030</v>
      </c>
      <c r="I6">
        <f>Model!N4</f>
        <v>2031</v>
      </c>
      <c r="J6">
        <f>Model!O4</f>
        <v>2032</v>
      </c>
      <c r="K6">
        <f>Model!P4</f>
        <v>2033</v>
      </c>
      <c r="L6">
        <f>Model!Q4</f>
        <v>2034</v>
      </c>
      <c r="M6">
        <f>Model!R4</f>
        <v>2035</v>
      </c>
      <c r="N6">
        <f>Model!S4</f>
        <v>2036</v>
      </c>
    </row>
    <row r="7" spans="2:14" x14ac:dyDescent="0.3">
      <c r="B7" s="4"/>
      <c r="D7" s="4"/>
    </row>
    <row r="8" spans="2:14" x14ac:dyDescent="0.3">
      <c r="B8" t="s">
        <v>253</v>
      </c>
      <c r="D8" s="35">
        <f>AVERAGE(Model!F12:I12)</f>
        <v>5.4486856828024621E-2</v>
      </c>
      <c r="E8" s="48">
        <f>D8</f>
        <v>5.4486856828024621E-2</v>
      </c>
      <c r="F8" s="48">
        <f>E8*(1-$D$11)</f>
        <v>5.1217645418343144E-2</v>
      </c>
      <c r="G8" s="48">
        <f>F8*(1-$D$11)</f>
        <v>4.814458669324255E-2</v>
      </c>
      <c r="H8" s="48">
        <f t="shared" ref="F8:N8" si="0">G8*(1-$D$11)</f>
        <v>4.5255911491647996E-2</v>
      </c>
      <c r="I8" s="48">
        <f t="shared" si="0"/>
        <v>4.2540556802149111E-2</v>
      </c>
      <c r="J8" s="48">
        <f t="shared" si="0"/>
        <v>3.9988123394020164E-2</v>
      </c>
      <c r="K8" s="48">
        <f t="shared" si="0"/>
        <v>3.7588835990378953E-2</v>
      </c>
      <c r="L8" s="48">
        <f t="shared" si="0"/>
        <v>3.5333505830956215E-2</v>
      </c>
      <c r="M8" s="48">
        <f t="shared" si="0"/>
        <v>3.3213495481098837E-2</v>
      </c>
      <c r="N8" s="48">
        <f t="shared" si="0"/>
        <v>3.1220685752232906E-2</v>
      </c>
    </row>
    <row r="9" spans="2:14" x14ac:dyDescent="0.3">
      <c r="B9" t="s">
        <v>254</v>
      </c>
      <c r="D9" s="35">
        <f>MAX(Model!E12:I12)</f>
        <v>0.15509285741524614</v>
      </c>
      <c r="E9" s="48">
        <f>D9</f>
        <v>0.15509285741524614</v>
      </c>
      <c r="F9" s="48">
        <f>E9*(1-$D$11)</f>
        <v>0.14578728597033136</v>
      </c>
      <c r="G9" s="48">
        <f>F9*(1-$D$11)</f>
        <v>0.13704004881211146</v>
      </c>
      <c r="H9" s="48">
        <f t="shared" ref="E9:N10" si="1">G9*(1-$D$11)</f>
        <v>0.12881764588338476</v>
      </c>
      <c r="I9" s="48">
        <f>H9*(1-$D$11)</f>
        <v>0.12108858713038168</v>
      </c>
      <c r="J9" s="48">
        <f t="shared" si="1"/>
        <v>0.11382327190255877</v>
      </c>
      <c r="K9" s="48">
        <f t="shared" si="1"/>
        <v>0.10699387558840523</v>
      </c>
      <c r="L9" s="48">
        <f t="shared" si="1"/>
        <v>0.10057424305310091</v>
      </c>
      <c r="M9" s="48">
        <f t="shared" si="1"/>
        <v>9.4539788469914843E-2</v>
      </c>
      <c r="N9" s="48">
        <f t="shared" si="1"/>
        <v>8.8867401161719942E-2</v>
      </c>
    </row>
    <row r="10" spans="2:14" x14ac:dyDescent="0.3">
      <c r="B10" t="s">
        <v>255</v>
      </c>
      <c r="D10" s="35">
        <f>MIN(Model!F12:I12)</f>
        <v>1.9791262763344974E-2</v>
      </c>
      <c r="E10" s="48">
        <f>D10</f>
        <v>1.9791262763344974E-2</v>
      </c>
      <c r="F10" s="48">
        <f>E10*(1-$D$11)</f>
        <v>1.8603786997544274E-2</v>
      </c>
      <c r="G10" s="48">
        <f t="shared" si="1"/>
        <v>1.7487559777691616E-2</v>
      </c>
      <c r="H10" s="48">
        <f t="shared" si="1"/>
        <v>1.6438306191030119E-2</v>
      </c>
      <c r="I10" s="48">
        <f t="shared" si="1"/>
        <v>1.5452007819568311E-2</v>
      </c>
      <c r="J10" s="48">
        <f t="shared" si="1"/>
        <v>1.4524887350394212E-2</v>
      </c>
      <c r="K10" s="48">
        <f t="shared" si="1"/>
        <v>1.3653394109370559E-2</v>
      </c>
      <c r="L10" s="48">
        <f t="shared" si="1"/>
        <v>1.2834190462808325E-2</v>
      </c>
      <c r="M10" s="48">
        <f t="shared" si="1"/>
        <v>1.2064139035039825E-2</v>
      </c>
      <c r="N10" s="48">
        <f>M10*(1-$D$11)</f>
        <v>1.1340290692937434E-2</v>
      </c>
    </row>
    <row r="11" spans="2:14" x14ac:dyDescent="0.3">
      <c r="B11" t="s">
        <v>256</v>
      </c>
      <c r="D11" s="47">
        <v>0.06</v>
      </c>
    </row>
    <row r="17" spans="6:14" x14ac:dyDescent="0.3">
      <c r="F17" s="48"/>
      <c r="G17" s="48"/>
      <c r="H17" s="48"/>
      <c r="I17" s="48"/>
      <c r="J17" s="48"/>
      <c r="K17" s="48"/>
      <c r="L17" s="48"/>
      <c r="M17" s="48"/>
      <c r="N17" s="48"/>
    </row>
    <row r="18" spans="6:14" x14ac:dyDescent="0.3">
      <c r="F18" s="48"/>
      <c r="G18" s="48"/>
      <c r="H18" s="48"/>
      <c r="I18" s="48"/>
      <c r="J18" s="48"/>
      <c r="K18" s="48"/>
      <c r="L18" s="48"/>
      <c r="M18" s="48"/>
      <c r="N18" s="48"/>
    </row>
    <row r="19" spans="6:14" x14ac:dyDescent="0.3">
      <c r="F19" s="48"/>
      <c r="G19" s="48"/>
      <c r="H19" s="48"/>
      <c r="I19" s="48"/>
      <c r="J19" s="48"/>
      <c r="K19" s="48"/>
      <c r="L19" s="48"/>
      <c r="M19" s="48"/>
      <c r="N19" s="4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87C9-2E43-41B5-8D6D-5E5B489E546B}">
  <dimension ref="B2:H72"/>
  <sheetViews>
    <sheetView showGridLines="0" topLeftCell="A9" zoomScale="79" workbookViewId="0">
      <selection activeCell="D31" sqref="D31:D34"/>
    </sheetView>
  </sheetViews>
  <sheetFormatPr defaultRowHeight="14.4" x14ac:dyDescent="0.3"/>
  <cols>
    <col min="2" max="2" width="77.88671875" bestFit="1" customWidth="1"/>
  </cols>
  <sheetData>
    <row r="2" spans="2:8" x14ac:dyDescent="0.3">
      <c r="B2" t="s">
        <v>0</v>
      </c>
    </row>
    <row r="4" spans="2:8" x14ac:dyDescent="0.3">
      <c r="B4" s="1" t="s">
        <v>1</v>
      </c>
      <c r="C4" s="2"/>
      <c r="D4" s="1">
        <v>2022</v>
      </c>
      <c r="E4" s="1">
        <f>D4+1</f>
        <v>2023</v>
      </c>
      <c r="F4" s="1">
        <f>E4+1</f>
        <v>2024</v>
      </c>
      <c r="G4" s="1">
        <f t="shared" ref="G4:H4" si="0">F4+1</f>
        <v>2025</v>
      </c>
      <c r="H4" s="1">
        <f t="shared" si="0"/>
        <v>2026</v>
      </c>
    </row>
    <row r="5" spans="2:8" x14ac:dyDescent="0.3">
      <c r="B5" s="3" t="s">
        <v>2</v>
      </c>
    </row>
    <row r="7" spans="2:8" x14ac:dyDescent="0.3">
      <c r="B7" s="4" t="s">
        <v>3</v>
      </c>
    </row>
    <row r="8" spans="2:8" x14ac:dyDescent="0.3">
      <c r="B8" s="4" t="s">
        <v>4</v>
      </c>
    </row>
    <row r="9" spans="2:8" x14ac:dyDescent="0.3">
      <c r="B9" t="s">
        <v>5</v>
      </c>
      <c r="D9" s="154">
        <v>6169</v>
      </c>
      <c r="E9" s="5">
        <v>6949</v>
      </c>
      <c r="F9" s="5">
        <v>8031</v>
      </c>
      <c r="G9" s="5">
        <v>8625</v>
      </c>
      <c r="H9" s="5">
        <v>8182</v>
      </c>
    </row>
    <row r="10" spans="2:8" x14ac:dyDescent="0.3">
      <c r="B10" t="s">
        <v>6</v>
      </c>
      <c r="D10" s="154">
        <v>1313</v>
      </c>
      <c r="E10" s="5">
        <v>1132</v>
      </c>
      <c r="F10" s="5">
        <v>1025</v>
      </c>
      <c r="G10" s="5">
        <v>1009</v>
      </c>
      <c r="H10">
        <v>880</v>
      </c>
    </row>
    <row r="11" spans="2:8" x14ac:dyDescent="0.3">
      <c r="B11" t="s">
        <v>7</v>
      </c>
      <c r="D11" s="154">
        <f>17316+81</f>
        <v>17397</v>
      </c>
      <c r="E11" s="5">
        <f>17316+150</f>
        <v>17466</v>
      </c>
      <c r="F11" s="5">
        <v>17466</v>
      </c>
      <c r="G11" s="5">
        <v>17466</v>
      </c>
      <c r="H11" s="5">
        <v>18062</v>
      </c>
    </row>
    <row r="12" spans="2:8" x14ac:dyDescent="0.3">
      <c r="B12" t="s">
        <v>8</v>
      </c>
      <c r="D12" s="154">
        <v>27907</v>
      </c>
      <c r="E12" s="5">
        <v>28263</v>
      </c>
      <c r="F12" s="5">
        <v>28247</v>
      </c>
      <c r="G12" s="5">
        <v>28244</v>
      </c>
      <c r="H12" s="5">
        <v>31184</v>
      </c>
    </row>
    <row r="13" spans="2:8" x14ac:dyDescent="0.3">
      <c r="B13" t="s">
        <v>9</v>
      </c>
      <c r="D13" s="92">
        <v>0</v>
      </c>
      <c r="E13">
        <v>69</v>
      </c>
      <c r="F13">
        <v>65</v>
      </c>
      <c r="G13">
        <v>57</v>
      </c>
      <c r="H13">
        <v>0</v>
      </c>
    </row>
    <row r="14" spans="2:8" x14ac:dyDescent="0.3">
      <c r="B14" s="6" t="s">
        <v>10</v>
      </c>
      <c r="D14" s="92"/>
    </row>
    <row r="15" spans="2:8" x14ac:dyDescent="0.3">
      <c r="B15" t="s">
        <v>11</v>
      </c>
      <c r="D15" s="92">
        <v>2</v>
      </c>
      <c r="E15">
        <v>2</v>
      </c>
      <c r="F15">
        <v>2</v>
      </c>
      <c r="G15">
        <v>2</v>
      </c>
      <c r="H15">
        <v>112</v>
      </c>
    </row>
    <row r="16" spans="2:8" x14ac:dyDescent="0.3">
      <c r="B16" t="s">
        <v>12</v>
      </c>
      <c r="D16" s="92">
        <v>115</v>
      </c>
      <c r="E16">
        <v>98</v>
      </c>
      <c r="F16">
        <v>102</v>
      </c>
      <c r="G16">
        <v>87</v>
      </c>
      <c r="H16">
        <v>85</v>
      </c>
    </row>
    <row r="17" spans="2:8" x14ac:dyDescent="0.3">
      <c r="B17" t="s">
        <v>13</v>
      </c>
      <c r="D17" s="92">
        <v>729</v>
      </c>
      <c r="E17">
        <v>725</v>
      </c>
      <c r="F17">
        <v>760</v>
      </c>
      <c r="G17">
        <v>763</v>
      </c>
      <c r="H17">
        <v>709</v>
      </c>
    </row>
    <row r="18" spans="2:8" x14ac:dyDescent="0.3">
      <c r="B18" t="s">
        <v>14</v>
      </c>
      <c r="D18" s="92">
        <v>11</v>
      </c>
      <c r="E18">
        <v>10</v>
      </c>
      <c r="F18">
        <v>10</v>
      </c>
      <c r="G18">
        <v>17</v>
      </c>
      <c r="H18">
        <v>14</v>
      </c>
    </row>
    <row r="19" spans="2:8" x14ac:dyDescent="0.3">
      <c r="B19" t="s">
        <v>15</v>
      </c>
      <c r="D19" s="154">
        <v>1158</v>
      </c>
      <c r="E19" s="5">
        <v>1164</v>
      </c>
      <c r="F19" s="5">
        <v>1175</v>
      </c>
      <c r="G19" s="5">
        <v>1199</v>
      </c>
      <c r="H19" s="5">
        <v>1146</v>
      </c>
    </row>
    <row r="20" spans="2:8" x14ac:dyDescent="0.3">
      <c r="B20" t="s">
        <v>16</v>
      </c>
      <c r="D20" s="92">
        <v>194</v>
      </c>
      <c r="E20">
        <v>211</v>
      </c>
      <c r="F20">
        <v>292</v>
      </c>
      <c r="G20">
        <v>360</v>
      </c>
      <c r="H20">
        <v>357</v>
      </c>
    </row>
    <row r="21" spans="2:8" x14ac:dyDescent="0.3">
      <c r="B21" s="7" t="s">
        <v>17</v>
      </c>
      <c r="C21" s="8"/>
      <c r="D21" s="155">
        <f>SUM(D9:D20)</f>
        <v>54995</v>
      </c>
      <c r="E21" s="9">
        <f>SUM(E9:E20)</f>
        <v>56089</v>
      </c>
      <c r="F21" s="9">
        <f>SUM(F9:F20)</f>
        <v>57175</v>
      </c>
      <c r="G21" s="9">
        <f>SUM(G9:G20)</f>
        <v>57829</v>
      </c>
      <c r="H21" s="9">
        <f>SUM(H9:H20)</f>
        <v>60731</v>
      </c>
    </row>
    <row r="22" spans="2:8" x14ac:dyDescent="0.3">
      <c r="B22" s="4"/>
      <c r="D22" s="156"/>
      <c r="E22" s="10"/>
      <c r="F22" s="10"/>
      <c r="G22" s="10"/>
      <c r="H22" s="10"/>
    </row>
    <row r="23" spans="2:8" x14ac:dyDescent="0.3">
      <c r="B23" s="4" t="s">
        <v>18</v>
      </c>
      <c r="D23" s="92"/>
    </row>
    <row r="24" spans="2:8" x14ac:dyDescent="0.3">
      <c r="B24" t="s">
        <v>19</v>
      </c>
      <c r="D24" s="154">
        <v>4096</v>
      </c>
      <c r="E24">
        <v>4251</v>
      </c>
      <c r="F24">
        <v>4022</v>
      </c>
      <c r="G24" s="5">
        <v>4415</v>
      </c>
      <c r="H24" s="5">
        <v>4789</v>
      </c>
    </row>
    <row r="25" spans="2:8" x14ac:dyDescent="0.3">
      <c r="B25" s="6" t="s">
        <v>20</v>
      </c>
      <c r="D25" s="92"/>
    </row>
    <row r="26" spans="2:8" x14ac:dyDescent="0.3">
      <c r="B26" t="s">
        <v>11</v>
      </c>
      <c r="D26" s="154">
        <v>3519</v>
      </c>
      <c r="E26" s="5">
        <v>2811</v>
      </c>
      <c r="F26" s="5">
        <v>4558</v>
      </c>
      <c r="G26" s="5">
        <v>3751</v>
      </c>
      <c r="H26" s="5">
        <v>4247</v>
      </c>
    </row>
    <row r="27" spans="2:8" x14ac:dyDescent="0.3">
      <c r="B27" t="s">
        <v>21</v>
      </c>
      <c r="D27" s="154">
        <v>2236</v>
      </c>
      <c r="E27" s="5">
        <v>3079</v>
      </c>
      <c r="F27" s="5">
        <v>2997</v>
      </c>
      <c r="G27" s="5">
        <v>3819</v>
      </c>
      <c r="H27" s="5">
        <v>3379</v>
      </c>
    </row>
    <row r="28" spans="2:8" x14ac:dyDescent="0.3">
      <c r="B28" t="s">
        <v>22</v>
      </c>
      <c r="D28" s="154">
        <v>1147</v>
      </c>
      <c r="E28">
        <v>714</v>
      </c>
      <c r="F28">
        <v>825</v>
      </c>
      <c r="G28" s="5">
        <v>6071</v>
      </c>
      <c r="H28" s="5">
        <v>2583</v>
      </c>
    </row>
    <row r="29" spans="2:8" x14ac:dyDescent="0.3">
      <c r="B29" t="s">
        <v>23</v>
      </c>
      <c r="D29" s="154">
        <v>2699</v>
      </c>
      <c r="E29" s="5">
        <v>3964</v>
      </c>
      <c r="F29" s="5">
        <v>6734</v>
      </c>
      <c r="G29" s="5">
        <v>1483</v>
      </c>
      <c r="H29">
        <v>665</v>
      </c>
    </row>
    <row r="30" spans="2:8" x14ac:dyDescent="0.3">
      <c r="B30" t="s">
        <v>12</v>
      </c>
      <c r="D30" s="92">
        <v>35</v>
      </c>
      <c r="E30">
        <v>36</v>
      </c>
      <c r="F30">
        <v>38</v>
      </c>
      <c r="G30">
        <v>46</v>
      </c>
      <c r="H30">
        <v>50</v>
      </c>
    </row>
    <row r="31" spans="2:8" x14ac:dyDescent="0.3">
      <c r="B31" t="s">
        <v>13</v>
      </c>
      <c r="D31" s="154">
        <v>1089</v>
      </c>
      <c r="E31" s="5">
        <v>1386</v>
      </c>
      <c r="F31" s="5">
        <v>1425</v>
      </c>
      <c r="G31" s="5">
        <v>1488</v>
      </c>
      <c r="H31" s="5">
        <v>1979</v>
      </c>
    </row>
    <row r="32" spans="2:8" x14ac:dyDescent="0.3">
      <c r="B32" t="s">
        <v>24</v>
      </c>
      <c r="D32" s="154">
        <v>0</v>
      </c>
      <c r="E32" s="5">
        <v>0</v>
      </c>
      <c r="F32" s="5">
        <v>0</v>
      </c>
      <c r="G32" s="5">
        <v>0</v>
      </c>
      <c r="H32">
        <v>156</v>
      </c>
    </row>
    <row r="33" spans="2:8" x14ac:dyDescent="0.3">
      <c r="B33" t="s">
        <v>25</v>
      </c>
      <c r="D33" s="92">
        <v>688</v>
      </c>
      <c r="E33">
        <v>745</v>
      </c>
      <c r="F33">
        <v>713</v>
      </c>
      <c r="G33">
        <v>955</v>
      </c>
      <c r="H33" s="5">
        <v>1159</v>
      </c>
    </row>
    <row r="34" spans="2:8" x14ac:dyDescent="0.3">
      <c r="B34" t="s">
        <v>26</v>
      </c>
      <c r="D34" s="92">
        <v>13</v>
      </c>
      <c r="E34">
        <v>12</v>
      </c>
      <c r="F34">
        <v>12</v>
      </c>
      <c r="G34">
        <v>23</v>
      </c>
      <c r="H34">
        <v>14</v>
      </c>
    </row>
    <row r="35" spans="2:8" x14ac:dyDescent="0.3">
      <c r="B35" s="7" t="s">
        <v>27</v>
      </c>
      <c r="C35" s="8"/>
      <c r="D35" s="155">
        <f>SUM(D24:D34)</f>
        <v>15522</v>
      </c>
      <c r="E35" s="9">
        <f>SUM(E24:E34)</f>
        <v>16998</v>
      </c>
      <c r="F35" s="9">
        <f>SUM(F24:F34)</f>
        <v>21324</v>
      </c>
      <c r="G35" s="9">
        <f>SUM(G24:G34)</f>
        <v>22051</v>
      </c>
      <c r="H35" s="9">
        <f>SUM(H24:H34)</f>
        <v>19021</v>
      </c>
    </row>
    <row r="36" spans="2:8" x14ac:dyDescent="0.3">
      <c r="B36" s="4"/>
      <c r="D36" s="156"/>
      <c r="E36" s="10"/>
      <c r="F36" s="10"/>
      <c r="G36" s="10"/>
      <c r="H36" s="10"/>
    </row>
    <row r="37" spans="2:8" x14ac:dyDescent="0.3">
      <c r="B37" s="11" t="s">
        <v>28</v>
      </c>
      <c r="C37" s="12"/>
      <c r="D37" s="157">
        <f>D21+D35</f>
        <v>70517</v>
      </c>
      <c r="E37" s="13">
        <f>E21+E35</f>
        <v>73087</v>
      </c>
      <c r="F37" s="13">
        <f>F21+F35</f>
        <v>78499</v>
      </c>
      <c r="G37" s="13">
        <f>G21+G35</f>
        <v>79880</v>
      </c>
      <c r="H37" s="13">
        <f>H21+H35</f>
        <v>79752</v>
      </c>
    </row>
    <row r="38" spans="2:8" x14ac:dyDescent="0.3">
      <c r="D38" s="92"/>
    </row>
    <row r="39" spans="2:8" x14ac:dyDescent="0.3">
      <c r="B39" s="4" t="s">
        <v>29</v>
      </c>
      <c r="D39" s="92"/>
    </row>
    <row r="40" spans="2:8" x14ac:dyDescent="0.3">
      <c r="B40" s="4" t="s">
        <v>30</v>
      </c>
      <c r="D40" s="92"/>
    </row>
    <row r="41" spans="2:8" x14ac:dyDescent="0.3">
      <c r="B41" t="s">
        <v>31</v>
      </c>
      <c r="D41" s="92">
        <v>235</v>
      </c>
      <c r="E41">
        <v>235</v>
      </c>
      <c r="F41">
        <v>235</v>
      </c>
      <c r="G41">
        <v>235</v>
      </c>
      <c r="H41">
        <v>235</v>
      </c>
    </row>
    <row r="42" spans="2:8" x14ac:dyDescent="0.3">
      <c r="B42" t="s">
        <v>32</v>
      </c>
      <c r="D42" s="154">
        <v>48826</v>
      </c>
      <c r="E42" s="5">
        <v>50069</v>
      </c>
      <c r="F42" s="5">
        <v>50983</v>
      </c>
      <c r="G42" s="5">
        <v>49167</v>
      </c>
      <c r="H42" s="5">
        <v>48504</v>
      </c>
    </row>
    <row r="43" spans="2:8" x14ac:dyDescent="0.3">
      <c r="B43" t="s">
        <v>33</v>
      </c>
      <c r="D43" s="92">
        <v>26</v>
      </c>
      <c r="E43">
        <v>218</v>
      </c>
      <c r="F43">
        <v>205</v>
      </c>
      <c r="G43">
        <v>207</v>
      </c>
      <c r="H43">
        <v>269</v>
      </c>
    </row>
    <row r="44" spans="2:8" x14ac:dyDescent="0.3">
      <c r="B44" s="7" t="s">
        <v>34</v>
      </c>
      <c r="C44" s="8"/>
      <c r="D44" s="155">
        <f>SUM(D41:D43)</f>
        <v>49087</v>
      </c>
      <c r="E44" s="9">
        <f>SUM(E41:E43)</f>
        <v>50522</v>
      </c>
      <c r="F44" s="9">
        <f t="shared" ref="F44:H44" si="1">SUM(F41:F43)</f>
        <v>51423</v>
      </c>
      <c r="G44" s="9">
        <f t="shared" si="1"/>
        <v>49609</v>
      </c>
      <c r="H44" s="9">
        <f t="shared" si="1"/>
        <v>49008</v>
      </c>
    </row>
    <row r="45" spans="2:8" x14ac:dyDescent="0.3">
      <c r="B45" s="4"/>
      <c r="D45" s="156"/>
      <c r="E45" s="10"/>
      <c r="F45" s="10"/>
      <c r="G45" s="10"/>
      <c r="H45" s="10"/>
    </row>
    <row r="46" spans="2:8" x14ac:dyDescent="0.3">
      <c r="B46" s="4" t="s">
        <v>35</v>
      </c>
      <c r="D46" s="92"/>
    </row>
    <row r="47" spans="2:8" x14ac:dyDescent="0.3">
      <c r="B47" s="4" t="s">
        <v>36</v>
      </c>
      <c r="D47" s="92"/>
    </row>
    <row r="48" spans="2:8" x14ac:dyDescent="0.3">
      <c r="B48" s="6" t="s">
        <v>37</v>
      </c>
      <c r="D48" s="92"/>
    </row>
    <row r="49" spans="2:8" x14ac:dyDescent="0.3">
      <c r="B49" t="s">
        <v>38</v>
      </c>
      <c r="D49" s="92">
        <v>741</v>
      </c>
      <c r="E49">
        <v>807</v>
      </c>
      <c r="F49" s="5">
        <v>1106</v>
      </c>
      <c r="G49" s="5">
        <v>1243</v>
      </c>
      <c r="H49" s="5">
        <v>1104</v>
      </c>
    </row>
    <row r="50" spans="2:8" x14ac:dyDescent="0.3">
      <c r="B50" t="s">
        <v>39</v>
      </c>
      <c r="D50" s="92">
        <v>357</v>
      </c>
      <c r="E50">
        <v>860</v>
      </c>
      <c r="F50">
        <v>718</v>
      </c>
      <c r="G50">
        <v>680</v>
      </c>
      <c r="H50" s="5">
        <v>1241</v>
      </c>
    </row>
    <row r="51" spans="2:8" x14ac:dyDescent="0.3">
      <c r="B51" t="s">
        <v>40</v>
      </c>
      <c r="D51" s="154">
        <v>1580</v>
      </c>
      <c r="E51" s="5">
        <v>1363</v>
      </c>
      <c r="F51" s="5">
        <v>1576</v>
      </c>
      <c r="G51" s="5">
        <v>1528</v>
      </c>
      <c r="H51" s="5">
        <v>1684</v>
      </c>
    </row>
    <row r="52" spans="2:8" x14ac:dyDescent="0.3">
      <c r="B52" t="s">
        <v>41</v>
      </c>
      <c r="D52" s="154">
        <v>6141</v>
      </c>
      <c r="E52" s="5">
        <v>6421</v>
      </c>
      <c r="F52" s="5">
        <v>6557</v>
      </c>
      <c r="G52" s="5">
        <v>6685</v>
      </c>
      <c r="H52" s="5">
        <v>7474</v>
      </c>
    </row>
    <row r="53" spans="2:8" x14ac:dyDescent="0.3">
      <c r="B53" t="s">
        <v>42</v>
      </c>
      <c r="D53" s="154">
        <v>1331</v>
      </c>
      <c r="E53" s="5">
        <v>1086</v>
      </c>
      <c r="F53" s="5">
        <v>4243</v>
      </c>
      <c r="G53" s="5">
        <v>3598</v>
      </c>
      <c r="H53" s="5">
        <v>3692</v>
      </c>
    </row>
    <row r="54" spans="2:8" x14ac:dyDescent="0.3">
      <c r="B54" s="7" t="s">
        <v>43</v>
      </c>
      <c r="C54" s="7"/>
      <c r="D54" s="158">
        <f>SUM(D49:D53)</f>
        <v>10150</v>
      </c>
      <c r="E54" s="7">
        <f>SUM(E49:E53)</f>
        <v>10537</v>
      </c>
      <c r="F54" s="7">
        <f t="shared" ref="F54:H54" si="2">SUM(F49:F53)</f>
        <v>14200</v>
      </c>
      <c r="G54" s="7">
        <f t="shared" si="2"/>
        <v>13734</v>
      </c>
      <c r="H54" s="7">
        <f t="shared" si="2"/>
        <v>15195</v>
      </c>
    </row>
    <row r="55" spans="2:8" x14ac:dyDescent="0.3">
      <c r="B55" s="4"/>
      <c r="D55" s="156"/>
      <c r="E55" s="10"/>
      <c r="F55" s="10"/>
      <c r="G55" s="10"/>
      <c r="H55" s="10"/>
    </row>
    <row r="56" spans="2:8" x14ac:dyDescent="0.3">
      <c r="B56" s="4" t="s">
        <v>44</v>
      </c>
      <c r="D56" s="92"/>
    </row>
    <row r="57" spans="2:8" x14ac:dyDescent="0.3">
      <c r="B57" s="6" t="s">
        <v>45</v>
      </c>
      <c r="D57" s="92"/>
    </row>
    <row r="58" spans="2:8" x14ac:dyDescent="0.3">
      <c r="B58" t="s">
        <v>46</v>
      </c>
      <c r="D58" s="92">
        <v>0</v>
      </c>
      <c r="E58">
        <v>98</v>
      </c>
      <c r="F58" s="5">
        <v>13</v>
      </c>
      <c r="G58">
        <v>1</v>
      </c>
      <c r="H58">
        <v>0</v>
      </c>
    </row>
    <row r="59" spans="2:8" x14ac:dyDescent="0.3">
      <c r="B59" t="s">
        <v>38</v>
      </c>
      <c r="D59" s="92">
        <v>302</v>
      </c>
      <c r="E59">
        <v>314</v>
      </c>
      <c r="F59" s="5">
        <v>365</v>
      </c>
      <c r="G59">
        <v>404</v>
      </c>
      <c r="H59">
        <v>374</v>
      </c>
    </row>
    <row r="60" spans="2:8" x14ac:dyDescent="0.3">
      <c r="B60" s="14" t="s">
        <v>47</v>
      </c>
      <c r="D60" s="92"/>
    </row>
    <row r="61" spans="2:8" x14ac:dyDescent="0.3">
      <c r="B61" t="s">
        <v>48</v>
      </c>
      <c r="D61" s="92">
        <v>60</v>
      </c>
      <c r="E61">
        <v>100</v>
      </c>
      <c r="F61">
        <v>250</v>
      </c>
      <c r="G61">
        <v>263</v>
      </c>
      <c r="H61">
        <v>458</v>
      </c>
    </row>
    <row r="62" spans="2:8" x14ac:dyDescent="0.3">
      <c r="B62" t="s">
        <v>49</v>
      </c>
      <c r="D62" s="92">
        <v>9008</v>
      </c>
      <c r="E62" s="5">
        <v>9474</v>
      </c>
      <c r="F62" s="5">
        <v>10236</v>
      </c>
      <c r="G62" s="5">
        <v>11052</v>
      </c>
      <c r="H62" s="5">
        <v>12867</v>
      </c>
    </row>
    <row r="63" spans="2:8" x14ac:dyDescent="0.3">
      <c r="B63" t="s">
        <v>39</v>
      </c>
      <c r="D63" s="92">
        <v>899</v>
      </c>
      <c r="E63">
        <v>889</v>
      </c>
      <c r="F63">
        <v>865</v>
      </c>
      <c r="G63" s="5">
        <v>1280</v>
      </c>
      <c r="H63">
        <v>845</v>
      </c>
    </row>
    <row r="64" spans="2:8" x14ac:dyDescent="0.3">
      <c r="B64" t="s">
        <v>50</v>
      </c>
      <c r="D64" s="92">
        <v>665</v>
      </c>
      <c r="E64">
        <v>764</v>
      </c>
      <c r="F64">
        <v>807</v>
      </c>
      <c r="G64">
        <v>959</v>
      </c>
      <c r="H64">
        <v>736</v>
      </c>
    </row>
    <row r="65" spans="2:8" x14ac:dyDescent="0.3">
      <c r="B65" t="s">
        <v>40</v>
      </c>
      <c r="D65" s="92">
        <v>346</v>
      </c>
      <c r="E65">
        <v>389</v>
      </c>
      <c r="F65">
        <v>340</v>
      </c>
      <c r="G65">
        <v>675</v>
      </c>
      <c r="H65">
        <v>265</v>
      </c>
    </row>
    <row r="66" spans="2:8" x14ac:dyDescent="0.3">
      <c r="B66" t="s">
        <v>51</v>
      </c>
      <c r="D66" s="92">
        <v>0</v>
      </c>
      <c r="E66">
        <v>0</v>
      </c>
      <c r="F66">
        <v>0</v>
      </c>
      <c r="G66" s="5">
        <v>1903</v>
      </c>
      <c r="H66">
        <v>4</v>
      </c>
    </row>
    <row r="67" spans="2:8" x14ac:dyDescent="0.3">
      <c r="B67" s="7" t="s">
        <v>52</v>
      </c>
      <c r="C67" s="7"/>
      <c r="D67" s="158">
        <f>SUM(D58:D66)</f>
        <v>11280</v>
      </c>
      <c r="E67" s="7">
        <f>SUM(E58:E66)</f>
        <v>12028</v>
      </c>
      <c r="F67" s="7">
        <f>SUM(F58:F66)</f>
        <v>12876</v>
      </c>
      <c r="G67" s="7">
        <f>SUM(G58:G66)</f>
        <v>16537</v>
      </c>
      <c r="H67" s="7">
        <f>SUM(H58:H66)</f>
        <v>15549</v>
      </c>
    </row>
    <row r="68" spans="2:8" x14ac:dyDescent="0.3">
      <c r="B68" s="4"/>
      <c r="D68" s="156"/>
      <c r="E68" s="10"/>
      <c r="F68" s="10"/>
      <c r="G68" s="10"/>
      <c r="H68" s="10"/>
    </row>
    <row r="69" spans="2:8" x14ac:dyDescent="0.3">
      <c r="B69" s="11" t="s">
        <v>53</v>
      </c>
      <c r="C69" s="12"/>
      <c r="D69" s="157">
        <f>D44+D54+D67</f>
        <v>70517</v>
      </c>
      <c r="E69" s="13">
        <f>E44+E54+E67</f>
        <v>73087</v>
      </c>
      <c r="F69" s="13">
        <f>F44+F54+F67</f>
        <v>78499</v>
      </c>
      <c r="G69" s="13">
        <f>G44+G54+G67</f>
        <v>79880</v>
      </c>
      <c r="H69" s="13">
        <f>H44+H54+H67</f>
        <v>79752</v>
      </c>
    </row>
    <row r="70" spans="2:8" x14ac:dyDescent="0.3">
      <c r="D70" s="92"/>
    </row>
    <row r="71" spans="2:8" x14ac:dyDescent="0.3">
      <c r="B71" s="4" t="s">
        <v>54</v>
      </c>
    </row>
    <row r="72" spans="2:8" x14ac:dyDescent="0.3">
      <c r="D72" s="5">
        <f>D69-D37</f>
        <v>0</v>
      </c>
      <c r="E72" s="5">
        <f t="shared" ref="E72:H72" si="3">E69-E37</f>
        <v>0</v>
      </c>
      <c r="F72" s="5">
        <f t="shared" si="3"/>
        <v>0</v>
      </c>
      <c r="G72" s="5">
        <f t="shared" si="3"/>
        <v>0</v>
      </c>
      <c r="H72" s="5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0F7BB-F522-401B-9692-85BB83F8FA32}">
  <dimension ref="B3:H38"/>
  <sheetViews>
    <sheetView showGridLines="0" topLeftCell="A10" zoomScale="75" workbookViewId="0">
      <selection activeCell="J29" sqref="J29"/>
    </sheetView>
  </sheetViews>
  <sheetFormatPr defaultRowHeight="14.4" x14ac:dyDescent="0.3"/>
  <cols>
    <col min="2" max="2" width="72.5546875" bestFit="1" customWidth="1"/>
  </cols>
  <sheetData>
    <row r="3" spans="2:8" x14ac:dyDescent="0.3">
      <c r="B3" s="1" t="str">
        <f>BS!B4</f>
        <v>Particular</v>
      </c>
      <c r="C3" s="2"/>
      <c r="D3" s="1">
        <f>BS!D4</f>
        <v>2022</v>
      </c>
      <c r="E3" s="1">
        <f>BS!E4</f>
        <v>2023</v>
      </c>
      <c r="F3" s="1">
        <f>BS!F4</f>
        <v>2024</v>
      </c>
      <c r="G3" s="1">
        <f>BS!G4</f>
        <v>2025</v>
      </c>
      <c r="H3" s="1">
        <f>BS!H4</f>
        <v>2026</v>
      </c>
    </row>
    <row r="4" spans="2:8" x14ac:dyDescent="0.3">
      <c r="B4" s="3" t="s">
        <v>2</v>
      </c>
    </row>
    <row r="6" spans="2:8" x14ac:dyDescent="0.3">
      <c r="B6" s="4" t="s">
        <v>55</v>
      </c>
    </row>
    <row r="7" spans="2:8" x14ac:dyDescent="0.3">
      <c r="B7" t="s">
        <v>56</v>
      </c>
      <c r="D7" s="5">
        <v>52446</v>
      </c>
      <c r="E7" s="5">
        <v>60580</v>
      </c>
      <c r="F7" s="5">
        <v>61896</v>
      </c>
      <c r="G7" s="5">
        <v>63121</v>
      </c>
      <c r="H7" s="5">
        <v>64468</v>
      </c>
    </row>
    <row r="8" spans="2:8" x14ac:dyDescent="0.3">
      <c r="B8" t="s">
        <v>57</v>
      </c>
      <c r="D8">
        <v>258</v>
      </c>
      <c r="E8">
        <v>512</v>
      </c>
      <c r="F8">
        <v>811</v>
      </c>
      <c r="G8" s="5">
        <v>1017</v>
      </c>
      <c r="H8">
        <v>751</v>
      </c>
    </row>
    <row r="9" spans="2:8" x14ac:dyDescent="0.3">
      <c r="B9" s="7" t="s">
        <v>58</v>
      </c>
      <c r="C9" s="8"/>
      <c r="D9" s="9">
        <f>SUM(D7:D8)</f>
        <v>52704</v>
      </c>
      <c r="E9" s="9">
        <f>SUM(E7:E8)</f>
        <v>61092</v>
      </c>
      <c r="F9" s="9">
        <f>SUM(F7:F8)</f>
        <v>62707</v>
      </c>
      <c r="G9" s="9">
        <f>SUM(G7:G8)</f>
        <v>64138</v>
      </c>
      <c r="H9" s="9">
        <f>SUM(H7:H8)</f>
        <v>65219</v>
      </c>
    </row>
    <row r="10" spans="2:8" x14ac:dyDescent="0.3">
      <c r="B10" s="4"/>
      <c r="D10" s="10"/>
      <c r="E10" s="10"/>
      <c r="F10" s="10"/>
      <c r="G10" s="10"/>
      <c r="H10" s="10"/>
    </row>
    <row r="11" spans="2:8" x14ac:dyDescent="0.3">
      <c r="B11" s="6" t="s">
        <v>59</v>
      </c>
    </row>
    <row r="12" spans="2:8" x14ac:dyDescent="0.3">
      <c r="B12" t="s">
        <v>60</v>
      </c>
      <c r="D12" s="5">
        <v>16446</v>
      </c>
      <c r="E12" s="5">
        <v>20212</v>
      </c>
      <c r="F12" s="5">
        <v>19257</v>
      </c>
      <c r="G12" s="5">
        <v>19458</v>
      </c>
      <c r="H12" s="5">
        <v>20981</v>
      </c>
    </row>
    <row r="13" spans="2:8" x14ac:dyDescent="0.3">
      <c r="B13" t="s">
        <v>61</v>
      </c>
      <c r="D13" s="5">
        <v>9311</v>
      </c>
      <c r="E13" s="5">
        <v>11579</v>
      </c>
      <c r="F13" s="5">
        <v>10514</v>
      </c>
      <c r="G13" s="5">
        <v>11273</v>
      </c>
      <c r="H13" s="5">
        <v>11113</v>
      </c>
    </row>
    <row r="14" spans="2:8" x14ac:dyDescent="0.3">
      <c r="B14" t="s">
        <v>62</v>
      </c>
      <c r="D14">
        <v>-22</v>
      </c>
      <c r="E14">
        <v>-75</v>
      </c>
      <c r="F14">
        <v>-11</v>
      </c>
      <c r="G14">
        <v>-153</v>
      </c>
      <c r="H14">
        <v>-429</v>
      </c>
    </row>
    <row r="15" spans="2:8" x14ac:dyDescent="0.3">
      <c r="B15" t="s">
        <v>63</v>
      </c>
      <c r="D15" s="5">
        <v>2545</v>
      </c>
      <c r="E15" s="5">
        <v>2854</v>
      </c>
      <c r="F15" s="5">
        <v>3009</v>
      </c>
      <c r="G15" s="5">
        <v>3077</v>
      </c>
      <c r="H15" s="5">
        <v>3175</v>
      </c>
    </row>
    <row r="16" spans="2:8" x14ac:dyDescent="0.3">
      <c r="B16" t="s">
        <v>64</v>
      </c>
      <c r="D16">
        <v>106</v>
      </c>
      <c r="E16">
        <v>114</v>
      </c>
      <c r="F16">
        <v>334</v>
      </c>
      <c r="G16">
        <v>395</v>
      </c>
      <c r="H16">
        <v>410</v>
      </c>
    </row>
    <row r="17" spans="2:8" x14ac:dyDescent="0.3">
      <c r="B17" t="s">
        <v>65</v>
      </c>
      <c r="D17" s="5">
        <v>1091</v>
      </c>
      <c r="E17" s="5">
        <v>1137</v>
      </c>
      <c r="F17" s="5">
        <v>1216</v>
      </c>
      <c r="G17" s="5">
        <v>1355</v>
      </c>
      <c r="H17" s="5">
        <v>1333</v>
      </c>
    </row>
    <row r="18" spans="2:8" x14ac:dyDescent="0.3">
      <c r="B18" t="s">
        <v>66</v>
      </c>
      <c r="D18" s="5">
        <v>11309</v>
      </c>
      <c r="E18" s="5">
        <v>11861</v>
      </c>
      <c r="F18" s="5">
        <v>14464</v>
      </c>
      <c r="G18" s="5">
        <v>14615</v>
      </c>
      <c r="H18" s="5">
        <v>14574</v>
      </c>
    </row>
    <row r="19" spans="2:8" x14ac:dyDescent="0.3">
      <c r="B19" s="7" t="s">
        <v>67</v>
      </c>
      <c r="C19" s="8"/>
      <c r="D19" s="9">
        <f>SUM(D12:D18)</f>
        <v>40786</v>
      </c>
      <c r="E19" s="9">
        <f>SUM(E12:E18)</f>
        <v>47682</v>
      </c>
      <c r="F19" s="9">
        <f>SUM(F12:F18)</f>
        <v>48783</v>
      </c>
      <c r="G19" s="9">
        <f>SUM(G12:G18)</f>
        <v>50020</v>
      </c>
      <c r="H19" s="9">
        <f>SUM(H12:H18)</f>
        <v>51157</v>
      </c>
    </row>
    <row r="20" spans="2:8" x14ac:dyDescent="0.3">
      <c r="B20" s="4"/>
      <c r="D20" s="10"/>
      <c r="E20" s="10"/>
      <c r="F20" s="10"/>
      <c r="G20" s="10"/>
      <c r="H20" s="10"/>
    </row>
    <row r="21" spans="2:8" x14ac:dyDescent="0.3">
      <c r="B21" s="11" t="s">
        <v>177</v>
      </c>
      <c r="C21" s="11"/>
      <c r="D21" s="13">
        <f>D9-D19</f>
        <v>11918</v>
      </c>
      <c r="E21" s="11">
        <f>E9-E19</f>
        <v>13410</v>
      </c>
      <c r="F21" s="11">
        <f>F9-F19</f>
        <v>13924</v>
      </c>
      <c r="G21" s="11">
        <f>G9-G19</f>
        <v>14118</v>
      </c>
      <c r="H21" s="11">
        <f>H9-H19</f>
        <v>14062</v>
      </c>
    </row>
    <row r="22" spans="2:8" x14ac:dyDescent="0.3">
      <c r="B22" s="4"/>
      <c r="D22" s="10"/>
      <c r="E22" s="10"/>
      <c r="F22" s="10"/>
      <c r="G22" s="10"/>
      <c r="H22" s="10"/>
    </row>
    <row r="23" spans="2:8" x14ac:dyDescent="0.3">
      <c r="B23" t="s">
        <v>68</v>
      </c>
      <c r="D23">
        <v>0</v>
      </c>
      <c r="E23">
        <v>-1</v>
      </c>
      <c r="F23">
        <v>-4</v>
      </c>
      <c r="G23">
        <v>-8</v>
      </c>
      <c r="H23">
        <v>-15</v>
      </c>
    </row>
    <row r="24" spans="2:8" x14ac:dyDescent="0.3">
      <c r="B24" s="4" t="s">
        <v>69</v>
      </c>
      <c r="D24" s="10">
        <f>SUM(D21:D23)</f>
        <v>11918</v>
      </c>
      <c r="E24" s="10">
        <f>SUM(E21:E23)</f>
        <v>13409</v>
      </c>
      <c r="F24" s="10">
        <f>SUM(F21:F23)</f>
        <v>13920</v>
      </c>
      <c r="G24" s="10">
        <f>SUM(G21:G23)</f>
        <v>14110</v>
      </c>
      <c r="H24" s="10">
        <f>SUM(H21:H23)</f>
        <v>14047</v>
      </c>
    </row>
    <row r="25" spans="2:8" x14ac:dyDescent="0.3">
      <c r="B25" t="s">
        <v>70</v>
      </c>
      <c r="D25">
        <v>-44</v>
      </c>
      <c r="E25">
        <v>-64</v>
      </c>
      <c r="F25">
        <v>6</v>
      </c>
      <c r="G25">
        <v>305</v>
      </c>
      <c r="H25">
        <v>-235</v>
      </c>
    </row>
    <row r="27" spans="2:8" x14ac:dyDescent="0.3">
      <c r="B27" s="11" t="s">
        <v>71</v>
      </c>
      <c r="C27" s="11"/>
      <c r="D27" s="13">
        <f>SUM(D24:D25)</f>
        <v>11874</v>
      </c>
      <c r="E27" s="13">
        <f>SUM(E24:E25)</f>
        <v>13345</v>
      </c>
      <c r="F27" s="11">
        <f>SUM(F24:F25)</f>
        <v>13926</v>
      </c>
      <c r="G27" s="13">
        <f>SUM(G24:G25)</f>
        <v>14415</v>
      </c>
      <c r="H27" s="11">
        <f>SUM(H24:H25)</f>
        <v>13812</v>
      </c>
    </row>
    <row r="28" spans="2:8" x14ac:dyDescent="0.3">
      <c r="B28" s="4"/>
      <c r="D28" s="10"/>
      <c r="E28" s="10"/>
      <c r="F28" s="10"/>
      <c r="G28" s="10"/>
      <c r="H28" s="10"/>
    </row>
    <row r="29" spans="2:8" x14ac:dyDescent="0.3">
      <c r="B29" s="14" t="s">
        <v>72</v>
      </c>
    </row>
    <row r="30" spans="2:8" x14ac:dyDescent="0.3">
      <c r="B30" t="s">
        <v>73</v>
      </c>
      <c r="D30" s="5">
        <v>-2840</v>
      </c>
      <c r="E30" s="5">
        <v>-3001</v>
      </c>
      <c r="F30" s="5">
        <v>-3521</v>
      </c>
      <c r="G30" s="5">
        <v>-3620</v>
      </c>
      <c r="H30" s="5">
        <v>-3163</v>
      </c>
    </row>
    <row r="31" spans="2:8" x14ac:dyDescent="0.3">
      <c r="B31" t="s">
        <v>74</v>
      </c>
      <c r="D31">
        <v>-147</v>
      </c>
      <c r="E31">
        <v>-200</v>
      </c>
      <c r="F31">
        <v>-123</v>
      </c>
      <c r="G31">
        <v>-124</v>
      </c>
      <c r="H31">
        <v>3</v>
      </c>
    </row>
    <row r="32" spans="2:8" x14ac:dyDescent="0.3">
      <c r="B32" s="4" t="s">
        <v>75</v>
      </c>
      <c r="D32" s="10">
        <f>SUM(D27:D31)</f>
        <v>8887</v>
      </c>
      <c r="E32" s="10">
        <f>SUM(E27:E31)</f>
        <v>10144</v>
      </c>
      <c r="F32" s="10">
        <f>SUM(F27:F31)</f>
        <v>10282</v>
      </c>
      <c r="G32" s="10">
        <f>SUM(G27:G31)</f>
        <v>10671</v>
      </c>
      <c r="H32" s="10">
        <f>SUM(H27:H31)</f>
        <v>10652</v>
      </c>
    </row>
    <row r="33" spans="2:8" x14ac:dyDescent="0.3">
      <c r="B33" s="4"/>
      <c r="D33" s="10"/>
      <c r="E33" s="10"/>
      <c r="F33" s="10"/>
      <c r="G33" s="10"/>
      <c r="H33" s="10"/>
    </row>
    <row r="34" spans="2:8" x14ac:dyDescent="0.3">
      <c r="B34" t="s">
        <v>76</v>
      </c>
      <c r="D34">
        <v>3</v>
      </c>
      <c r="E34">
        <v>-1</v>
      </c>
      <c r="F34">
        <v>0</v>
      </c>
      <c r="G34">
        <v>0</v>
      </c>
      <c r="H34">
        <v>0</v>
      </c>
    </row>
    <row r="35" spans="2:8" x14ac:dyDescent="0.3">
      <c r="B35" t="s">
        <v>77</v>
      </c>
      <c r="D35">
        <v>2</v>
      </c>
      <c r="E35">
        <v>0</v>
      </c>
      <c r="F35">
        <v>0</v>
      </c>
      <c r="G35">
        <v>0</v>
      </c>
      <c r="H35">
        <v>0</v>
      </c>
    </row>
    <row r="36" spans="2:8" x14ac:dyDescent="0.3">
      <c r="B36" s="4" t="s">
        <v>78</v>
      </c>
      <c r="D36" s="4">
        <f>SUM(D34:D35)</f>
        <v>5</v>
      </c>
      <c r="E36" s="4">
        <f>SUM(E34:E35)</f>
        <v>-1</v>
      </c>
      <c r="F36" s="4">
        <f>SUM(F34:F35)</f>
        <v>0</v>
      </c>
      <c r="G36" s="4">
        <f>SUM(G34:G35)</f>
        <v>0</v>
      </c>
      <c r="H36" s="4">
        <f>SUM(H34:H35)</f>
        <v>0</v>
      </c>
    </row>
    <row r="37" spans="2:8" x14ac:dyDescent="0.3">
      <c r="B37" s="4"/>
      <c r="D37" s="4"/>
      <c r="E37" s="4"/>
      <c r="F37" s="4"/>
      <c r="G37" s="4"/>
      <c r="H37" s="4"/>
    </row>
    <row r="38" spans="2:8" x14ac:dyDescent="0.3">
      <c r="B38" s="11" t="s">
        <v>79</v>
      </c>
      <c r="C38" s="11"/>
      <c r="D38" s="11">
        <f>D32+D36</f>
        <v>8892</v>
      </c>
      <c r="E38" s="11">
        <f>E32+E36</f>
        <v>10143</v>
      </c>
      <c r="F38" s="11">
        <f>F32+F36</f>
        <v>10282</v>
      </c>
      <c r="G38" s="11">
        <f>G32+G36</f>
        <v>10671</v>
      </c>
      <c r="H38" s="11">
        <f>H32+H36</f>
        <v>10652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A51C-0037-4EBD-91A7-3211DE0C4715}">
  <dimension ref="B2:T23"/>
  <sheetViews>
    <sheetView showGridLines="0" workbookViewId="0">
      <selection activeCell="H17" sqref="H17"/>
    </sheetView>
  </sheetViews>
  <sheetFormatPr defaultRowHeight="14.4" x14ac:dyDescent="0.3"/>
  <cols>
    <col min="2" max="2" width="5.44140625" bestFit="1" customWidth="1"/>
    <col min="3" max="3" width="14.5546875" bestFit="1" customWidth="1"/>
    <col min="4" max="4" width="8.77734375" customWidth="1"/>
    <col min="5" max="5" width="14.109375" bestFit="1" customWidth="1"/>
    <col min="6" max="6" width="14.109375" customWidth="1"/>
    <col min="7" max="7" width="11" bestFit="1" customWidth="1"/>
    <col min="8" max="8" width="10.44140625" bestFit="1" customWidth="1"/>
    <col min="9" max="9" width="11.21875" bestFit="1" customWidth="1"/>
    <col min="10" max="10" width="11.21875" customWidth="1"/>
    <col min="11" max="12" width="10.77734375" bestFit="1" customWidth="1"/>
    <col min="13" max="13" width="14.44140625" bestFit="1" customWidth="1"/>
    <col min="14" max="14" width="11" bestFit="1" customWidth="1"/>
    <col min="15" max="15" width="19.44140625" bestFit="1" customWidth="1"/>
    <col min="16" max="16" width="13.6640625" bestFit="1" customWidth="1"/>
    <col min="17" max="17" width="14.21875" bestFit="1" customWidth="1"/>
    <col min="18" max="18" width="20.88671875" bestFit="1" customWidth="1"/>
    <col min="19" max="19" width="8.77734375" customWidth="1"/>
  </cols>
  <sheetData>
    <row r="2" spans="2:20" ht="28.8" x14ac:dyDescent="0.55000000000000004">
      <c r="B2" s="15" t="str">
        <f>Model!B2</f>
        <v>Hindustan Uniliver Ltd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2:20" x14ac:dyDescent="0.3">
      <c r="B3" s="16" t="str">
        <f>Model!B3</f>
        <v>HINDUNILVR | 500696</v>
      </c>
      <c r="C3" s="2"/>
      <c r="D3" s="2"/>
      <c r="E3" s="17"/>
      <c r="F3" s="17"/>
      <c r="G3" s="17"/>
      <c r="H3" s="17"/>
      <c r="I3" s="17"/>
      <c r="J3" s="43"/>
      <c r="K3" s="43"/>
      <c r="L3" s="43"/>
      <c r="M3" s="43"/>
      <c r="N3" s="43"/>
      <c r="O3" s="43"/>
      <c r="P3" s="43"/>
      <c r="Q3" s="43"/>
      <c r="R3" s="43"/>
      <c r="S3" s="43"/>
    </row>
    <row r="4" spans="2:20" x14ac:dyDescent="0.3">
      <c r="B4" s="16" t="str">
        <f>Model!B4</f>
        <v>Financial Statement &amp; DCF Analysis</v>
      </c>
      <c r="C4" s="2"/>
      <c r="D4" s="2"/>
      <c r="E4" s="18"/>
      <c r="F4" s="18"/>
      <c r="G4" s="18"/>
      <c r="H4" s="18"/>
      <c r="I4" s="18"/>
      <c r="J4" s="44"/>
      <c r="K4" s="44"/>
      <c r="L4" s="44"/>
      <c r="M4" s="44"/>
      <c r="N4" s="44"/>
      <c r="O4" s="44"/>
      <c r="P4" s="44"/>
      <c r="Q4" s="44"/>
      <c r="R4" s="44"/>
      <c r="S4" s="44"/>
    </row>
    <row r="7" spans="2:20" x14ac:dyDescent="0.3">
      <c r="B7" s="2" t="s">
        <v>260</v>
      </c>
      <c r="C7" s="2" t="s">
        <v>261</v>
      </c>
      <c r="D7" s="2" t="s">
        <v>268</v>
      </c>
      <c r="E7" s="2" t="s">
        <v>269</v>
      </c>
      <c r="F7" s="2" t="s">
        <v>478</v>
      </c>
      <c r="G7" s="2" t="s">
        <v>270</v>
      </c>
      <c r="H7" s="2" t="s">
        <v>271</v>
      </c>
      <c r="I7" s="2" t="s">
        <v>272</v>
      </c>
      <c r="J7" s="2" t="s">
        <v>273</v>
      </c>
      <c r="K7" s="2" t="s">
        <v>262</v>
      </c>
      <c r="L7" s="2" t="s">
        <v>263</v>
      </c>
      <c r="M7" s="2" t="s">
        <v>274</v>
      </c>
      <c r="N7" s="2" t="s">
        <v>275</v>
      </c>
      <c r="O7" s="2" t="s">
        <v>276</v>
      </c>
      <c r="P7" s="2" t="s">
        <v>277</v>
      </c>
      <c r="Q7" s="2" t="s">
        <v>278</v>
      </c>
      <c r="R7" s="2" t="s">
        <v>279</v>
      </c>
      <c r="S7" s="2" t="s">
        <v>280</v>
      </c>
    </row>
    <row r="8" spans="2:20" x14ac:dyDescent="0.3">
      <c r="B8">
        <v>1</v>
      </c>
      <c r="C8" t="s">
        <v>264</v>
      </c>
      <c r="D8">
        <v>1932</v>
      </c>
      <c r="E8">
        <v>453941.03</v>
      </c>
      <c r="F8" s="72">
        <f>E8/D8</f>
        <v>234.95912525879919</v>
      </c>
      <c r="G8">
        <v>1478</v>
      </c>
      <c r="H8" s="64">
        <f>E8+G8-N8</f>
        <v>452171.03</v>
      </c>
      <c r="I8">
        <v>66052</v>
      </c>
      <c r="J8">
        <v>15039</v>
      </c>
      <c r="K8" s="64">
        <f>H8/J8</f>
        <v>30.066562271427625</v>
      </c>
      <c r="L8">
        <v>41.16</v>
      </c>
      <c r="M8">
        <v>11027.55</v>
      </c>
      <c r="N8">
        <v>3248</v>
      </c>
      <c r="O8">
        <v>6070</v>
      </c>
      <c r="P8">
        <v>15347</v>
      </c>
      <c r="Q8">
        <v>3586</v>
      </c>
      <c r="R8">
        <v>3617</v>
      </c>
      <c r="S8" s="65">
        <v>0.25</v>
      </c>
      <c r="T8" s="38"/>
    </row>
    <row r="9" spans="2:20" x14ac:dyDescent="0.3">
      <c r="B9">
        <v>2</v>
      </c>
      <c r="C9" t="s">
        <v>265</v>
      </c>
      <c r="D9">
        <v>262.3</v>
      </c>
      <c r="E9">
        <v>328675.46000000002</v>
      </c>
      <c r="F9" s="72">
        <f t="shared" ref="F9:F11" si="0">E9/D9</f>
        <v>1253.0516965306902</v>
      </c>
      <c r="G9">
        <v>2399.06</v>
      </c>
      <c r="H9" s="64">
        <f t="shared" ref="H9:H11" si="1">E9+G9-N9</f>
        <v>328065.73000000004</v>
      </c>
      <c r="I9">
        <v>76487.98</v>
      </c>
      <c r="J9">
        <v>27306</v>
      </c>
      <c r="K9" s="64">
        <f>H9/J9</f>
        <v>12.014419175272835</v>
      </c>
      <c r="L9">
        <v>16.64</v>
      </c>
      <c r="M9">
        <v>19748.27</v>
      </c>
      <c r="N9">
        <v>3008.79</v>
      </c>
      <c r="O9">
        <v>622.38</v>
      </c>
      <c r="P9">
        <v>25682.3</v>
      </c>
      <c r="Q9">
        <v>6582.7</v>
      </c>
      <c r="R9">
        <v>6032.73</v>
      </c>
      <c r="S9" s="65">
        <v>0.25</v>
      </c>
      <c r="T9" s="38"/>
    </row>
    <row r="10" spans="2:20" x14ac:dyDescent="0.3">
      <c r="B10">
        <v>3</v>
      </c>
      <c r="C10" t="s">
        <v>266</v>
      </c>
      <c r="D10">
        <v>625.70000000000005</v>
      </c>
      <c r="E10">
        <v>7581.15</v>
      </c>
      <c r="F10" s="72">
        <f t="shared" si="0"/>
        <v>12.116269777848808</v>
      </c>
      <c r="G10">
        <v>1088.26</v>
      </c>
      <c r="H10" s="64">
        <f t="shared" si="1"/>
        <v>8617.7000000000007</v>
      </c>
      <c r="I10">
        <v>4400.1899999999996</v>
      </c>
      <c r="J10">
        <v>363</v>
      </c>
      <c r="K10" s="64">
        <f>H10/J10</f>
        <v>23.740220385674935</v>
      </c>
      <c r="L10">
        <v>46.87</v>
      </c>
      <c r="M10">
        <v>161.76</v>
      </c>
      <c r="N10">
        <v>51.71</v>
      </c>
      <c r="O10">
        <v>79.78</v>
      </c>
      <c r="P10">
        <v>380.49</v>
      </c>
      <c r="Q10">
        <v>53.48</v>
      </c>
      <c r="R10">
        <v>45.51</v>
      </c>
      <c r="S10" s="65">
        <v>0.25</v>
      </c>
      <c r="T10" s="38"/>
    </row>
    <row r="11" spans="2:20" x14ac:dyDescent="0.3">
      <c r="B11">
        <v>4</v>
      </c>
      <c r="C11" t="s">
        <v>267</v>
      </c>
      <c r="D11">
        <v>241.01</v>
      </c>
      <c r="E11">
        <v>1233.3900000000001</v>
      </c>
      <c r="F11" s="72">
        <f t="shared" si="0"/>
        <v>5.1175884818057344</v>
      </c>
      <c r="G11">
        <v>530.76</v>
      </c>
      <c r="H11" s="64">
        <f t="shared" si="1"/>
        <v>1732</v>
      </c>
      <c r="I11">
        <v>2012.58</v>
      </c>
      <c r="J11">
        <v>127</v>
      </c>
      <c r="K11" s="64">
        <f>H11/J11</f>
        <v>13.637795275590552</v>
      </c>
      <c r="L11">
        <v>42.52</v>
      </c>
      <c r="M11">
        <v>29.01</v>
      </c>
      <c r="N11">
        <v>32.15</v>
      </c>
      <c r="O11">
        <v>12.25</v>
      </c>
      <c r="P11">
        <v>121.88</v>
      </c>
      <c r="Q11">
        <v>0.79</v>
      </c>
      <c r="R11">
        <v>0.91</v>
      </c>
      <c r="S11" s="65">
        <v>0.23</v>
      </c>
      <c r="T11" s="38"/>
    </row>
    <row r="12" spans="2:20" x14ac:dyDescent="0.3">
      <c r="H12" s="64"/>
      <c r="K12" s="64"/>
      <c r="S12" s="65"/>
    </row>
    <row r="13" spans="2:20" x14ac:dyDescent="0.3">
      <c r="H13" s="64"/>
      <c r="K13" s="64"/>
      <c r="S13" s="65"/>
    </row>
    <row r="14" spans="2:20" x14ac:dyDescent="0.3">
      <c r="H14" s="64"/>
      <c r="K14" s="64"/>
      <c r="S14" s="65"/>
    </row>
    <row r="15" spans="2:20" x14ac:dyDescent="0.3">
      <c r="H15" s="64"/>
      <c r="K15" s="64"/>
      <c r="S15" s="65"/>
    </row>
    <row r="16" spans="2:20" x14ac:dyDescent="0.3">
      <c r="H16" s="64"/>
      <c r="K16" s="64"/>
      <c r="S16" s="65"/>
    </row>
    <row r="17" spans="8:19" x14ac:dyDescent="0.3">
      <c r="H17" s="64"/>
      <c r="K17" s="64"/>
      <c r="S17" s="65"/>
    </row>
    <row r="18" spans="8:19" x14ac:dyDescent="0.3">
      <c r="H18" s="64"/>
      <c r="K18" s="64"/>
      <c r="S18" s="65"/>
    </row>
    <row r="19" spans="8:19" x14ac:dyDescent="0.3">
      <c r="H19" s="64"/>
      <c r="K19" s="64"/>
      <c r="S19" s="65"/>
    </row>
    <row r="20" spans="8:19" x14ac:dyDescent="0.3">
      <c r="H20" s="64"/>
      <c r="K20" s="64"/>
      <c r="S20" s="65"/>
    </row>
    <row r="21" spans="8:19" x14ac:dyDescent="0.3">
      <c r="H21" s="64"/>
      <c r="K21" s="64"/>
      <c r="S21" s="65"/>
    </row>
    <row r="22" spans="8:19" x14ac:dyDescent="0.3">
      <c r="H22" s="64"/>
      <c r="K22" s="64"/>
      <c r="S22" s="65"/>
    </row>
    <row r="23" spans="8:19" x14ac:dyDescent="0.3">
      <c r="H23" s="64"/>
      <c r="K23" s="64"/>
      <c r="S23" s="65">
        <v>0.23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6B51-36BD-420F-BA87-6D6369BD33F0}">
  <dimension ref="B3:J93"/>
  <sheetViews>
    <sheetView showGridLines="0" topLeftCell="B11" zoomScale="90" workbookViewId="0">
      <selection activeCell="L31" sqref="L31"/>
    </sheetView>
  </sheetViews>
  <sheetFormatPr defaultRowHeight="14.4" x14ac:dyDescent="0.3"/>
  <cols>
    <col min="1" max="1" width="2.21875" customWidth="1"/>
    <col min="2" max="2" width="69.88671875" customWidth="1"/>
  </cols>
  <sheetData>
    <row r="3" spans="2:8" x14ac:dyDescent="0.3">
      <c r="B3" s="1" t="str">
        <f>'P&amp;L'!B3</f>
        <v>Particular</v>
      </c>
      <c r="C3" s="1"/>
      <c r="D3" s="1">
        <f>'P&amp;L'!D3</f>
        <v>2022</v>
      </c>
      <c r="E3" s="1">
        <f>'P&amp;L'!E3</f>
        <v>2023</v>
      </c>
      <c r="F3" s="1">
        <f>'P&amp;L'!F3</f>
        <v>2024</v>
      </c>
      <c r="G3" s="1">
        <f>'P&amp;L'!G3</f>
        <v>2025</v>
      </c>
      <c r="H3" s="1">
        <f>'P&amp;L'!H3</f>
        <v>2026</v>
      </c>
    </row>
    <row r="4" spans="2:8" x14ac:dyDescent="0.3">
      <c r="B4" s="3" t="s">
        <v>2</v>
      </c>
    </row>
    <row r="6" spans="2:8" x14ac:dyDescent="0.3">
      <c r="B6" s="4" t="s">
        <v>80</v>
      </c>
    </row>
    <row r="7" spans="2:8" x14ac:dyDescent="0.3">
      <c r="B7" s="4" t="s">
        <v>81</v>
      </c>
      <c r="D7" s="154">
        <v>11874</v>
      </c>
      <c r="E7" s="5">
        <v>13346</v>
      </c>
      <c r="F7" s="5">
        <v>13926</v>
      </c>
      <c r="G7" s="5">
        <v>14415</v>
      </c>
      <c r="H7" s="5">
        <v>13812</v>
      </c>
    </row>
    <row r="8" spans="2:8" x14ac:dyDescent="0.3">
      <c r="B8" s="4" t="s">
        <v>82</v>
      </c>
      <c r="D8" s="154">
        <v>0</v>
      </c>
      <c r="E8" s="5">
        <v>0</v>
      </c>
      <c r="F8" s="5">
        <v>0</v>
      </c>
      <c r="G8" s="5">
        <v>0</v>
      </c>
      <c r="H8" s="5">
        <v>4336</v>
      </c>
    </row>
    <row r="9" spans="2:8" x14ac:dyDescent="0.3">
      <c r="B9" s="14" t="s">
        <v>83</v>
      </c>
      <c r="D9" s="92"/>
    </row>
    <row r="10" spans="2:8" x14ac:dyDescent="0.3">
      <c r="B10" t="s">
        <v>84</v>
      </c>
      <c r="D10" s="154">
        <v>1106</v>
      </c>
      <c r="E10" s="5">
        <v>1152</v>
      </c>
      <c r="F10" s="5">
        <v>1216</v>
      </c>
      <c r="G10" s="5">
        <v>1363</v>
      </c>
      <c r="H10" s="5">
        <v>1436</v>
      </c>
    </row>
    <row r="11" spans="2:8" x14ac:dyDescent="0.3">
      <c r="B11" t="s">
        <v>85</v>
      </c>
      <c r="D11" s="92">
        <v>-97</v>
      </c>
      <c r="E11">
        <v>-100</v>
      </c>
      <c r="F11">
        <v>18</v>
      </c>
      <c r="G11">
        <v>43</v>
      </c>
      <c r="H11">
        <v>40</v>
      </c>
    </row>
    <row r="12" spans="2:8" x14ac:dyDescent="0.3">
      <c r="B12" t="s">
        <v>86</v>
      </c>
      <c r="D12" s="92">
        <v>-9</v>
      </c>
      <c r="E12">
        <v>-2</v>
      </c>
      <c r="F12">
        <v>0</v>
      </c>
      <c r="G12" s="5">
        <v>0</v>
      </c>
      <c r="H12" s="5">
        <v>0</v>
      </c>
    </row>
    <row r="13" spans="2:8" x14ac:dyDescent="0.3">
      <c r="B13" t="s">
        <v>87</v>
      </c>
      <c r="D13" s="92">
        <v>0</v>
      </c>
      <c r="E13">
        <v>0</v>
      </c>
      <c r="F13">
        <v>-132</v>
      </c>
      <c r="G13">
        <v>120</v>
      </c>
      <c r="H13">
        <v>502</v>
      </c>
    </row>
    <row r="14" spans="2:8" x14ac:dyDescent="0.3">
      <c r="B14" t="s">
        <v>88</v>
      </c>
      <c r="D14" s="92">
        <v>-198</v>
      </c>
      <c r="E14">
        <v>-411</v>
      </c>
      <c r="F14">
        <v>-546</v>
      </c>
      <c r="G14">
        <v>-755</v>
      </c>
      <c r="H14" s="5">
        <v>-546</v>
      </c>
    </row>
    <row r="15" spans="2:8" x14ac:dyDescent="0.3">
      <c r="B15" t="s">
        <v>89</v>
      </c>
      <c r="D15" s="92">
        <v>-1</v>
      </c>
      <c r="E15">
        <v>-2</v>
      </c>
      <c r="F15">
        <v>-3</v>
      </c>
      <c r="G15">
        <v>0</v>
      </c>
      <c r="H15">
        <v>-5</v>
      </c>
    </row>
    <row r="16" spans="2:8" x14ac:dyDescent="0.3">
      <c r="B16" t="s">
        <v>90</v>
      </c>
      <c r="D16" s="92">
        <v>-59</v>
      </c>
      <c r="E16">
        <v>-99</v>
      </c>
      <c r="F16">
        <v>-249</v>
      </c>
      <c r="G16">
        <v>-256</v>
      </c>
      <c r="H16" s="5">
        <v>-195</v>
      </c>
    </row>
    <row r="17" spans="2:8" x14ac:dyDescent="0.3">
      <c r="B17" t="s">
        <v>91</v>
      </c>
      <c r="D17" s="92">
        <v>0</v>
      </c>
      <c r="E17">
        <v>0</v>
      </c>
      <c r="F17">
        <v>0</v>
      </c>
      <c r="G17">
        <v>0</v>
      </c>
      <c r="H17" s="5">
        <v>-256</v>
      </c>
    </row>
    <row r="18" spans="2:8" x14ac:dyDescent="0.3">
      <c r="B18" t="s">
        <v>92</v>
      </c>
      <c r="D18" s="92">
        <v>106</v>
      </c>
      <c r="E18">
        <v>114</v>
      </c>
      <c r="F18">
        <v>317</v>
      </c>
      <c r="G18">
        <v>372</v>
      </c>
      <c r="H18" s="5">
        <v>424</v>
      </c>
    </row>
    <row r="19" spans="2:8" x14ac:dyDescent="0.3">
      <c r="B19" t="s">
        <v>93</v>
      </c>
      <c r="D19" s="92">
        <v>0</v>
      </c>
      <c r="E19">
        <v>0</v>
      </c>
      <c r="F19">
        <v>-159</v>
      </c>
      <c r="G19">
        <v>-595</v>
      </c>
      <c r="H19" s="5">
        <v>0</v>
      </c>
    </row>
    <row r="20" spans="2:8" x14ac:dyDescent="0.3">
      <c r="B20" t="s">
        <v>94</v>
      </c>
      <c r="D20" s="92">
        <v>-1</v>
      </c>
      <c r="E20">
        <v>1</v>
      </c>
      <c r="F20">
        <v>0</v>
      </c>
      <c r="G20">
        <v>0</v>
      </c>
      <c r="H20" s="5">
        <v>0</v>
      </c>
    </row>
    <row r="21" spans="2:8" x14ac:dyDescent="0.3">
      <c r="B21" t="s">
        <v>95</v>
      </c>
      <c r="D21" s="92">
        <v>-29</v>
      </c>
      <c r="E21">
        <v>-60</v>
      </c>
      <c r="F21">
        <v>0</v>
      </c>
      <c r="G21">
        <v>-1</v>
      </c>
      <c r="H21" s="5">
        <v>0</v>
      </c>
    </row>
    <row r="22" spans="2:8" x14ac:dyDescent="0.3">
      <c r="B22" t="s">
        <v>96</v>
      </c>
      <c r="D22" s="92">
        <v>0</v>
      </c>
      <c r="E22">
        <v>-1</v>
      </c>
      <c r="F22">
        <v>-1</v>
      </c>
      <c r="G22">
        <v>8</v>
      </c>
      <c r="H22" s="5">
        <v>15</v>
      </c>
    </row>
    <row r="23" spans="2:8" x14ac:dyDescent="0.3">
      <c r="B23" t="s">
        <v>97</v>
      </c>
      <c r="D23" s="92">
        <v>0</v>
      </c>
      <c r="E23">
        <v>2</v>
      </c>
      <c r="F23">
        <v>4</v>
      </c>
      <c r="G23">
        <v>189</v>
      </c>
      <c r="H23" s="5">
        <v>233</v>
      </c>
    </row>
    <row r="24" spans="2:8" x14ac:dyDescent="0.3">
      <c r="B24" t="s">
        <v>98</v>
      </c>
      <c r="D24" s="92">
        <v>156</v>
      </c>
      <c r="E24">
        <v>184</v>
      </c>
      <c r="F24">
        <v>167</v>
      </c>
      <c r="G24">
        <v>24</v>
      </c>
      <c r="H24" s="5">
        <v>23</v>
      </c>
    </row>
    <row r="25" spans="2:8" x14ac:dyDescent="0.3">
      <c r="B25" t="s">
        <v>99</v>
      </c>
      <c r="D25" s="92">
        <v>0</v>
      </c>
      <c r="E25">
        <v>0</v>
      </c>
      <c r="F25">
        <v>0</v>
      </c>
      <c r="G25">
        <v>0</v>
      </c>
      <c r="H25" s="5">
        <v>34</v>
      </c>
    </row>
    <row r="26" spans="2:8" x14ac:dyDescent="0.3">
      <c r="B26" t="s">
        <v>100</v>
      </c>
      <c r="D26" s="92">
        <v>-15</v>
      </c>
      <c r="E26">
        <v>-27</v>
      </c>
      <c r="F26">
        <v>-11</v>
      </c>
      <c r="G26">
        <v>11</v>
      </c>
      <c r="H26" s="5">
        <v>16</v>
      </c>
    </row>
    <row r="27" spans="2:8" x14ac:dyDescent="0.3">
      <c r="B27" t="s">
        <v>101</v>
      </c>
      <c r="D27" s="92">
        <v>0</v>
      </c>
      <c r="E27">
        <v>0</v>
      </c>
      <c r="F27">
        <v>0</v>
      </c>
      <c r="G27">
        <v>0</v>
      </c>
      <c r="H27" s="5">
        <v>-4611</v>
      </c>
    </row>
    <row r="28" spans="2:8" x14ac:dyDescent="0.3">
      <c r="B28" t="s">
        <v>102</v>
      </c>
      <c r="D28" s="92">
        <v>-4</v>
      </c>
      <c r="E28">
        <v>-8</v>
      </c>
      <c r="F28">
        <v>-10</v>
      </c>
      <c r="G28">
        <v>4</v>
      </c>
      <c r="H28" s="5">
        <v>-105</v>
      </c>
    </row>
    <row r="29" spans="2:8" x14ac:dyDescent="0.3">
      <c r="B29" s="33" t="s">
        <v>216</v>
      </c>
      <c r="D29" s="156">
        <f>SUM(D10:D28)</f>
        <v>955</v>
      </c>
      <c r="E29" s="10">
        <f t="shared" ref="E29:H29" si="0">SUM(E10:E28)</f>
        <v>743</v>
      </c>
      <c r="F29" s="10">
        <f t="shared" si="0"/>
        <v>611</v>
      </c>
      <c r="G29" s="10">
        <f t="shared" si="0"/>
        <v>527</v>
      </c>
      <c r="H29" s="10">
        <f t="shared" si="0"/>
        <v>-2995</v>
      </c>
    </row>
    <row r="30" spans="2:8" x14ac:dyDescent="0.3">
      <c r="D30" s="92"/>
      <c r="H30" s="5"/>
    </row>
    <row r="31" spans="2:8" x14ac:dyDescent="0.3">
      <c r="B31" s="7" t="s">
        <v>103</v>
      </c>
      <c r="C31" s="8"/>
      <c r="D31" s="155">
        <f>SUM(D7:D28)</f>
        <v>12829</v>
      </c>
      <c r="E31" s="9">
        <f>SUM(E7:E28)</f>
        <v>14089</v>
      </c>
      <c r="F31" s="9">
        <f>SUM(F7:F28)</f>
        <v>14537</v>
      </c>
      <c r="G31" s="9">
        <f>SUM(G7:G28)</f>
        <v>14942</v>
      </c>
      <c r="H31" s="9">
        <f>SUM(H7:H28)</f>
        <v>15153</v>
      </c>
    </row>
    <row r="32" spans="2:8" x14ac:dyDescent="0.3">
      <c r="B32" s="4"/>
      <c r="D32" s="156"/>
      <c r="E32" s="10"/>
      <c r="F32" s="10"/>
      <c r="G32" s="10"/>
      <c r="H32" s="10"/>
    </row>
    <row r="33" spans="2:10" x14ac:dyDescent="0.3">
      <c r="B33" s="14" t="s">
        <v>83</v>
      </c>
      <c r="D33" s="92"/>
      <c r="J33" s="5"/>
    </row>
    <row r="34" spans="2:10" x14ac:dyDescent="0.3">
      <c r="B34" t="s">
        <v>104</v>
      </c>
      <c r="D34" s="92">
        <v>3</v>
      </c>
      <c r="E34">
        <v>-14</v>
      </c>
      <c r="F34">
        <v>-30</v>
      </c>
      <c r="G34">
        <v>-87</v>
      </c>
      <c r="H34" s="5">
        <v>10</v>
      </c>
    </row>
    <row r="35" spans="2:10" x14ac:dyDescent="0.3">
      <c r="B35" t="s">
        <v>105</v>
      </c>
      <c r="D35" s="92">
        <v>-480</v>
      </c>
      <c r="E35" s="5">
        <v>-1111</v>
      </c>
      <c r="F35">
        <v>220</v>
      </c>
      <c r="G35" s="5">
        <v>-1275</v>
      </c>
      <c r="H35" s="5">
        <v>76</v>
      </c>
      <c r="J35" s="5"/>
    </row>
    <row r="36" spans="2:10" x14ac:dyDescent="0.3">
      <c r="B36" t="s">
        <v>106</v>
      </c>
      <c r="D36" s="92">
        <v>-758</v>
      </c>
      <c r="E36">
        <v>-339</v>
      </c>
      <c r="F36">
        <v>74</v>
      </c>
      <c r="G36">
        <v>-584</v>
      </c>
      <c r="H36" s="5">
        <v>-692</v>
      </c>
    </row>
    <row r="37" spans="2:10" x14ac:dyDescent="0.3">
      <c r="B37" t="s">
        <v>107</v>
      </c>
      <c r="D37" s="92">
        <v>86</v>
      </c>
      <c r="E37">
        <v>-116</v>
      </c>
      <c r="F37">
        <v>128</v>
      </c>
      <c r="G37">
        <v>-284</v>
      </c>
      <c r="H37" s="5">
        <v>-184</v>
      </c>
    </row>
    <row r="38" spans="2:10" x14ac:dyDescent="0.3">
      <c r="B38" t="s">
        <v>108</v>
      </c>
      <c r="D38" s="92">
        <v>149</v>
      </c>
      <c r="E38">
        <v>622</v>
      </c>
      <c r="F38">
        <v>921</v>
      </c>
      <c r="G38" s="5">
        <v>1442</v>
      </c>
      <c r="H38" s="5">
        <v>1476</v>
      </c>
    </row>
    <row r="39" spans="2:10" x14ac:dyDescent="0.3">
      <c r="B39" s="7" t="s">
        <v>109</v>
      </c>
      <c r="C39" s="8"/>
      <c r="D39" s="155">
        <f>SUM(D31:D38)</f>
        <v>11829</v>
      </c>
      <c r="E39" s="9">
        <f>SUM(E31:E38)</f>
        <v>13131</v>
      </c>
      <c r="F39" s="9">
        <f>SUM(F31:F38)</f>
        <v>15850</v>
      </c>
      <c r="G39" s="9">
        <f>SUM(G31:G38)</f>
        <v>14154</v>
      </c>
      <c r="H39" s="9">
        <f>SUM(H31:H38)</f>
        <v>15839</v>
      </c>
    </row>
    <row r="40" spans="2:10" x14ac:dyDescent="0.3">
      <c r="B40" s="4"/>
      <c r="D40" s="156"/>
      <c r="E40" s="10"/>
      <c r="F40" s="10"/>
      <c r="G40" s="10"/>
      <c r="H40" s="10"/>
    </row>
    <row r="41" spans="2:10" x14ac:dyDescent="0.3">
      <c r="B41" t="s">
        <v>110</v>
      </c>
      <c r="D41" s="154">
        <v>-2784</v>
      </c>
      <c r="E41" s="5">
        <v>-3138</v>
      </c>
      <c r="F41">
        <v>-381</v>
      </c>
      <c r="G41" s="5">
        <v>-2268</v>
      </c>
      <c r="H41" s="5">
        <v>-4840</v>
      </c>
    </row>
    <row r="42" spans="2:10" x14ac:dyDescent="0.3">
      <c r="B42" t="s">
        <v>111</v>
      </c>
      <c r="D42" s="92">
        <v>0</v>
      </c>
      <c r="E42">
        <v>-1</v>
      </c>
      <c r="F42" s="5">
        <v>0</v>
      </c>
      <c r="G42" s="5">
        <v>0</v>
      </c>
      <c r="H42" s="5">
        <v>0</v>
      </c>
    </row>
    <row r="43" spans="2:10" x14ac:dyDescent="0.3">
      <c r="B43" t="s">
        <v>112</v>
      </c>
      <c r="D43" s="92">
        <v>3</v>
      </c>
      <c r="E43">
        <v>-1</v>
      </c>
      <c r="F43">
        <v>0</v>
      </c>
      <c r="G43" s="5">
        <v>0</v>
      </c>
      <c r="H43" s="5">
        <v>0</v>
      </c>
    </row>
    <row r="44" spans="2:10" x14ac:dyDescent="0.3">
      <c r="D44" s="92"/>
      <c r="G44" s="5"/>
      <c r="H44" s="5"/>
    </row>
    <row r="45" spans="2:10" x14ac:dyDescent="0.3">
      <c r="B45" s="11" t="s">
        <v>113</v>
      </c>
      <c r="C45" s="12"/>
      <c r="D45" s="157">
        <f>SUM(D39:D43)</f>
        <v>9048</v>
      </c>
      <c r="E45" s="13">
        <f>SUM(E39:E43)</f>
        <v>9991</v>
      </c>
      <c r="F45" s="13">
        <f>SUM(F39:F43)</f>
        <v>15469</v>
      </c>
      <c r="G45" s="13">
        <f>SUM(G39:G43)</f>
        <v>11886</v>
      </c>
      <c r="H45" s="13">
        <f>SUM(H39:H43)</f>
        <v>10999</v>
      </c>
    </row>
    <row r="46" spans="2:10" x14ac:dyDescent="0.3">
      <c r="D46" s="92"/>
    </row>
    <row r="47" spans="2:10" x14ac:dyDescent="0.3">
      <c r="B47" s="4" t="s">
        <v>114</v>
      </c>
      <c r="D47" s="92"/>
    </row>
    <row r="48" spans="2:10" x14ac:dyDescent="0.3">
      <c r="B48" t="s">
        <v>115</v>
      </c>
      <c r="D48" s="154">
        <v>-1225</v>
      </c>
      <c r="E48" s="5">
        <v>-1174</v>
      </c>
      <c r="F48" s="5">
        <v>-1468</v>
      </c>
      <c r="G48" s="5">
        <v>-1254</v>
      </c>
      <c r="H48" s="5">
        <v>-1258</v>
      </c>
    </row>
    <row r="49" spans="2:8" x14ac:dyDescent="0.3">
      <c r="B49" t="s">
        <v>116</v>
      </c>
      <c r="D49" s="92">
        <v>146</v>
      </c>
      <c r="E49">
        <v>121</v>
      </c>
      <c r="F49">
        <v>20</v>
      </c>
      <c r="G49">
        <v>13</v>
      </c>
      <c r="H49">
        <v>29</v>
      </c>
    </row>
    <row r="50" spans="2:8" x14ac:dyDescent="0.3">
      <c r="B50" t="s">
        <v>117</v>
      </c>
      <c r="D50" s="92">
        <v>0</v>
      </c>
      <c r="E50">
        <v>0</v>
      </c>
      <c r="F50">
        <v>0</v>
      </c>
      <c r="G50">
        <v>0</v>
      </c>
      <c r="H50">
        <v>-112</v>
      </c>
    </row>
    <row r="51" spans="2:8" x14ac:dyDescent="0.3">
      <c r="B51" t="s">
        <v>118</v>
      </c>
      <c r="D51" s="92">
        <v>0</v>
      </c>
      <c r="E51">
        <v>0</v>
      </c>
      <c r="F51">
        <v>0</v>
      </c>
      <c r="G51">
        <v>0</v>
      </c>
      <c r="H51">
        <v>1</v>
      </c>
    </row>
    <row r="52" spans="2:8" x14ac:dyDescent="0.3">
      <c r="B52" t="s">
        <v>119</v>
      </c>
      <c r="D52" s="92">
        <v>-3</v>
      </c>
      <c r="E52">
        <v>-18</v>
      </c>
      <c r="F52">
        <v>-9</v>
      </c>
      <c r="G52">
        <v>-21</v>
      </c>
      <c r="H52">
        <v>-103</v>
      </c>
    </row>
    <row r="53" spans="2:8" x14ac:dyDescent="0.3">
      <c r="B53" t="s">
        <v>120</v>
      </c>
      <c r="D53" s="92">
        <v>29</v>
      </c>
      <c r="E53">
        <v>60</v>
      </c>
      <c r="F53">
        <v>0</v>
      </c>
      <c r="G53">
        <v>595</v>
      </c>
      <c r="H53">
        <v>0</v>
      </c>
    </row>
    <row r="54" spans="2:8" x14ac:dyDescent="0.3">
      <c r="B54" t="s">
        <v>121</v>
      </c>
      <c r="D54" s="92">
        <v>0</v>
      </c>
      <c r="E54">
        <v>-264</v>
      </c>
      <c r="F54">
        <v>0</v>
      </c>
      <c r="G54">
        <v>0</v>
      </c>
      <c r="H54" s="5">
        <v>0</v>
      </c>
    </row>
    <row r="55" spans="2:8" x14ac:dyDescent="0.3">
      <c r="B55" t="s">
        <v>122</v>
      </c>
      <c r="D55" s="92">
        <v>0</v>
      </c>
      <c r="E55">
        <v>-2</v>
      </c>
      <c r="F55">
        <v>0</v>
      </c>
      <c r="G55">
        <v>0</v>
      </c>
      <c r="H55">
        <v>0</v>
      </c>
    </row>
    <row r="56" spans="2:8" x14ac:dyDescent="0.3">
      <c r="B56" t="s">
        <v>123</v>
      </c>
      <c r="D56" s="92">
        <v>0</v>
      </c>
      <c r="E56">
        <v>-70</v>
      </c>
      <c r="F56">
        <v>0</v>
      </c>
      <c r="G56">
        <v>0</v>
      </c>
      <c r="H56">
        <v>0</v>
      </c>
    </row>
    <row r="57" spans="2:8" x14ac:dyDescent="0.3">
      <c r="B57" t="s">
        <v>124</v>
      </c>
      <c r="D57" s="92">
        <v>-41</v>
      </c>
      <c r="E57">
        <v>-40</v>
      </c>
      <c r="F57">
        <v>-4</v>
      </c>
      <c r="G57">
        <v>0</v>
      </c>
      <c r="H57">
        <v>-2661</v>
      </c>
    </row>
    <row r="58" spans="2:8" x14ac:dyDescent="0.3">
      <c r="B58" t="s">
        <v>125</v>
      </c>
      <c r="D58" s="92">
        <v>0</v>
      </c>
      <c r="E58">
        <v>0</v>
      </c>
      <c r="F58">
        <v>0</v>
      </c>
      <c r="G58">
        <v>0</v>
      </c>
      <c r="H58">
        <v>-824</v>
      </c>
    </row>
    <row r="59" spans="2:8" x14ac:dyDescent="0.3">
      <c r="B59" t="s">
        <v>126</v>
      </c>
      <c r="D59" s="154">
        <v>-48522</v>
      </c>
      <c r="E59" s="5">
        <v>-22649</v>
      </c>
      <c r="F59" s="5">
        <v>-21337</v>
      </c>
      <c r="G59" s="5">
        <v>-22957</v>
      </c>
      <c r="H59" s="5">
        <v>-25417</v>
      </c>
    </row>
    <row r="60" spans="2:8" x14ac:dyDescent="0.3">
      <c r="B60" t="s">
        <v>127</v>
      </c>
      <c r="D60" s="154">
        <v>47786</v>
      </c>
      <c r="E60" s="5">
        <v>23462</v>
      </c>
      <c r="F60" s="5">
        <v>19846</v>
      </c>
      <c r="G60" s="5">
        <v>23987</v>
      </c>
      <c r="H60" s="5">
        <v>25116</v>
      </c>
    </row>
    <row r="61" spans="2:8" x14ac:dyDescent="0.3">
      <c r="B61" t="s">
        <v>128</v>
      </c>
      <c r="D61" s="92">
        <v>-4</v>
      </c>
      <c r="E61">
        <v>-1</v>
      </c>
      <c r="F61">
        <v>1</v>
      </c>
      <c r="G61">
        <v>0</v>
      </c>
      <c r="H61">
        <v>1</v>
      </c>
    </row>
    <row r="62" spans="2:8" x14ac:dyDescent="0.3">
      <c r="B62" t="s">
        <v>129</v>
      </c>
      <c r="D62" s="154">
        <v>-3711</v>
      </c>
      <c r="E62" s="5">
        <v>-3668</v>
      </c>
      <c r="F62" s="5">
        <v>-9170</v>
      </c>
      <c r="G62" s="5">
        <v>-2499</v>
      </c>
      <c r="H62" s="5">
        <v>-1911</v>
      </c>
    </row>
    <row r="63" spans="2:8" x14ac:dyDescent="0.3">
      <c r="B63" t="s">
        <v>130</v>
      </c>
      <c r="D63" s="154">
        <v>3656</v>
      </c>
      <c r="E63" s="5">
        <v>2488</v>
      </c>
      <c r="F63" s="5">
        <v>6369</v>
      </c>
      <c r="G63" s="5">
        <v>7774</v>
      </c>
      <c r="H63" s="5">
        <v>2759</v>
      </c>
    </row>
    <row r="64" spans="2:8" x14ac:dyDescent="0.3">
      <c r="B64" t="s">
        <v>131</v>
      </c>
      <c r="D64" s="92">
        <v>-1</v>
      </c>
      <c r="E64">
        <v>0</v>
      </c>
      <c r="F64" s="5">
        <v>0</v>
      </c>
      <c r="G64" s="5">
        <v>0</v>
      </c>
      <c r="H64" s="5">
        <v>-35</v>
      </c>
    </row>
    <row r="65" spans="2:10" x14ac:dyDescent="0.3">
      <c r="B65" t="s">
        <v>132</v>
      </c>
      <c r="D65" s="154">
        <v>0</v>
      </c>
      <c r="E65" s="5">
        <v>0</v>
      </c>
      <c r="F65" s="5">
        <v>0</v>
      </c>
      <c r="G65" s="5">
        <v>0</v>
      </c>
      <c r="H65" s="5">
        <v>298</v>
      </c>
    </row>
    <row r="66" spans="2:10" x14ac:dyDescent="0.3">
      <c r="B66" t="s">
        <v>133</v>
      </c>
      <c r="D66" s="92">
        <v>161</v>
      </c>
      <c r="E66">
        <v>259</v>
      </c>
      <c r="F66">
        <v>425</v>
      </c>
      <c r="G66">
        <v>835</v>
      </c>
      <c r="H66" s="5">
        <v>428</v>
      </c>
    </row>
    <row r="67" spans="2:10" x14ac:dyDescent="0.3">
      <c r="B67" t="s">
        <v>134</v>
      </c>
      <c r="D67" s="92">
        <v>1</v>
      </c>
      <c r="E67">
        <v>2</v>
      </c>
      <c r="F67">
        <v>3</v>
      </c>
      <c r="G67" s="5">
        <v>0</v>
      </c>
      <c r="H67" s="5">
        <v>5</v>
      </c>
    </row>
    <row r="68" spans="2:10" x14ac:dyDescent="0.3">
      <c r="D68" s="92"/>
      <c r="G68" s="5"/>
      <c r="H68" s="5"/>
    </row>
    <row r="69" spans="2:10" x14ac:dyDescent="0.3">
      <c r="B69" s="11" t="s">
        <v>135</v>
      </c>
      <c r="C69" s="12"/>
      <c r="D69" s="157">
        <f>SUM(D48:D67)</f>
        <v>-1728</v>
      </c>
      <c r="E69" s="13">
        <f>SUM(E48:E67)</f>
        <v>-1494</v>
      </c>
      <c r="F69" s="13">
        <f>SUM(F48:F67)</f>
        <v>-5324</v>
      </c>
      <c r="G69" s="13">
        <f>SUM(G48:G67)</f>
        <v>6473</v>
      </c>
      <c r="H69" s="13">
        <f>SUM(H48:H67)</f>
        <v>-3684</v>
      </c>
    </row>
    <row r="70" spans="2:10" x14ac:dyDescent="0.3">
      <c r="D70" s="92"/>
    </row>
    <row r="71" spans="2:10" x14ac:dyDescent="0.3">
      <c r="B71" s="4" t="s">
        <v>136</v>
      </c>
      <c r="D71" s="92"/>
      <c r="J71" s="5"/>
    </row>
    <row r="72" spans="2:10" x14ac:dyDescent="0.3">
      <c r="B72" t="s">
        <v>137</v>
      </c>
      <c r="D72" s="154">
        <v>-7526</v>
      </c>
      <c r="E72" s="5">
        <v>-8474</v>
      </c>
      <c r="F72" s="5">
        <v>-9416</v>
      </c>
      <c r="G72" s="5">
        <v>-12473</v>
      </c>
      <c r="H72" s="5">
        <v>-10124</v>
      </c>
    </row>
    <row r="73" spans="2:10" x14ac:dyDescent="0.3">
      <c r="B73" t="s">
        <v>138</v>
      </c>
      <c r="D73" s="92">
        <v>55</v>
      </c>
      <c r="E73">
        <v>286</v>
      </c>
      <c r="F73">
        <v>0</v>
      </c>
      <c r="G73">
        <v>0</v>
      </c>
      <c r="H73">
        <v>0</v>
      </c>
    </row>
    <row r="74" spans="2:10" x14ac:dyDescent="0.3">
      <c r="B74" t="s">
        <v>139</v>
      </c>
      <c r="D74" s="92">
        <v>-55</v>
      </c>
      <c r="E74">
        <v>-201</v>
      </c>
      <c r="F74">
        <v>-85</v>
      </c>
      <c r="G74">
        <v>0</v>
      </c>
      <c r="H74">
        <v>0</v>
      </c>
    </row>
    <row r="75" spans="2:10" x14ac:dyDescent="0.3">
      <c r="B75" t="s">
        <v>140</v>
      </c>
      <c r="D75" s="92">
        <v>0</v>
      </c>
      <c r="E75">
        <v>-7</v>
      </c>
      <c r="F75">
        <v>0</v>
      </c>
      <c r="G75">
        <v>0</v>
      </c>
      <c r="H75">
        <v>-50</v>
      </c>
    </row>
    <row r="76" spans="2:10" x14ac:dyDescent="0.3">
      <c r="B76" t="s">
        <v>141</v>
      </c>
      <c r="D76" s="92">
        <v>-407</v>
      </c>
      <c r="E76">
        <v>-467</v>
      </c>
      <c r="F76">
        <v>-423</v>
      </c>
      <c r="G76">
        <v>-498</v>
      </c>
      <c r="H76">
        <v>-507</v>
      </c>
    </row>
    <row r="77" spans="2:10" x14ac:dyDescent="0.3">
      <c r="B77" t="s">
        <v>142</v>
      </c>
      <c r="D77" s="92">
        <v>-80</v>
      </c>
      <c r="E77">
        <v>-84</v>
      </c>
      <c r="F77">
        <v>-106</v>
      </c>
      <c r="G77">
        <v>-127</v>
      </c>
      <c r="H77">
        <v>-129</v>
      </c>
    </row>
    <row r="78" spans="2:10" x14ac:dyDescent="0.3">
      <c r="B78" t="s">
        <v>143</v>
      </c>
      <c r="D78" s="92">
        <v>-2</v>
      </c>
      <c r="E78">
        <v>-4</v>
      </c>
      <c r="F78">
        <v>-4</v>
      </c>
      <c r="G78">
        <v>-3</v>
      </c>
      <c r="H78">
        <v>0</v>
      </c>
    </row>
    <row r="79" spans="2:10" x14ac:dyDescent="0.3">
      <c r="B79" t="s">
        <v>144</v>
      </c>
      <c r="D79" s="92">
        <v>0</v>
      </c>
      <c r="E79">
        <v>-2</v>
      </c>
      <c r="F79">
        <v>0</v>
      </c>
      <c r="G79">
        <v>0</v>
      </c>
      <c r="H79">
        <v>0</v>
      </c>
    </row>
    <row r="80" spans="2:10" x14ac:dyDescent="0.3">
      <c r="D80" s="92"/>
    </row>
    <row r="81" spans="2:9" x14ac:dyDescent="0.3">
      <c r="B81" s="11" t="s">
        <v>145</v>
      </c>
      <c r="C81" s="12"/>
      <c r="D81" s="157">
        <f>SUM(D72:D79)</f>
        <v>-8015</v>
      </c>
      <c r="E81" s="13">
        <f>SUM(E72:E79)</f>
        <v>-8953</v>
      </c>
      <c r="F81" s="13">
        <f>SUM(F72:F79)</f>
        <v>-10034</v>
      </c>
      <c r="G81" s="13">
        <f>SUM(G72:G79)</f>
        <v>-13101</v>
      </c>
      <c r="H81" s="13">
        <f>SUM(H72:H79)</f>
        <v>-10810</v>
      </c>
    </row>
    <row r="82" spans="2:9" x14ac:dyDescent="0.3">
      <c r="B82" s="4"/>
      <c r="D82" s="156"/>
      <c r="E82" s="10"/>
      <c r="F82" s="10"/>
      <c r="G82" s="10"/>
      <c r="H82" s="10"/>
    </row>
    <row r="83" spans="2:9" x14ac:dyDescent="0.3">
      <c r="B83" s="4" t="s">
        <v>146</v>
      </c>
      <c r="D83" s="156">
        <f>D45+D69+D81</f>
        <v>-695</v>
      </c>
      <c r="E83" s="10">
        <f>E45+E69+E81</f>
        <v>-456</v>
      </c>
      <c r="F83" s="10">
        <f>F45+F69+F81</f>
        <v>111</v>
      </c>
      <c r="G83" s="10">
        <f>G45+G69+G81</f>
        <v>5258</v>
      </c>
      <c r="H83" s="10">
        <f>H45+H69+H81</f>
        <v>-3495</v>
      </c>
    </row>
    <row r="84" spans="2:9" x14ac:dyDescent="0.3">
      <c r="B84" t="s">
        <v>147</v>
      </c>
      <c r="D84" s="154">
        <v>1842</v>
      </c>
      <c r="E84" s="5">
        <v>1147</v>
      </c>
      <c r="F84">
        <v>701</v>
      </c>
      <c r="G84">
        <v>812</v>
      </c>
      <c r="H84">
        <v>6070</v>
      </c>
    </row>
    <row r="85" spans="2:9" x14ac:dyDescent="0.3">
      <c r="B85" t="s">
        <v>148</v>
      </c>
      <c r="D85" s="92">
        <v>0</v>
      </c>
      <c r="E85">
        <v>10</v>
      </c>
      <c r="F85">
        <v>0</v>
      </c>
      <c r="G85">
        <v>0</v>
      </c>
      <c r="H85">
        <v>8</v>
      </c>
    </row>
    <row r="87" spans="2:9" x14ac:dyDescent="0.3">
      <c r="B87" s="11" t="s">
        <v>149</v>
      </c>
      <c r="C87" s="12"/>
      <c r="D87" s="13">
        <f>SUM(D83:D85)</f>
        <v>1147</v>
      </c>
      <c r="E87" s="13">
        <f>SUM(E83:E85)</f>
        <v>701</v>
      </c>
      <c r="F87" s="13">
        <f>SUM(F83:F85)</f>
        <v>812</v>
      </c>
      <c r="G87" s="13">
        <f>SUM(G83:G85)</f>
        <v>6070</v>
      </c>
      <c r="H87" s="13">
        <f>SUM(H83:H85)</f>
        <v>2583</v>
      </c>
    </row>
    <row r="88" spans="2:9" x14ac:dyDescent="0.3">
      <c r="B88" s="4"/>
      <c r="D88" s="10"/>
      <c r="E88" s="10"/>
      <c r="F88" s="10"/>
      <c r="G88" s="10"/>
      <c r="H88" s="10"/>
    </row>
    <row r="89" spans="2:9" x14ac:dyDescent="0.3">
      <c r="B89" s="4"/>
      <c r="D89" s="10"/>
      <c r="E89" s="10"/>
      <c r="F89" s="10"/>
      <c r="G89" s="10"/>
      <c r="H89" s="10"/>
    </row>
    <row r="90" spans="2:9" x14ac:dyDescent="0.3">
      <c r="B90" s="14" t="s">
        <v>150</v>
      </c>
      <c r="I90" s="5"/>
    </row>
    <row r="91" spans="2:9" x14ac:dyDescent="0.3">
      <c r="B91" t="s">
        <v>151</v>
      </c>
      <c r="D91" s="5">
        <v>1147</v>
      </c>
      <c r="E91">
        <v>714</v>
      </c>
      <c r="F91">
        <v>825</v>
      </c>
      <c r="G91">
        <v>6071</v>
      </c>
      <c r="H91">
        <v>2583</v>
      </c>
      <c r="I91" s="5"/>
    </row>
    <row r="92" spans="2:9" x14ac:dyDescent="0.3">
      <c r="B92" t="s">
        <v>152</v>
      </c>
      <c r="D92">
        <v>0</v>
      </c>
      <c r="E92">
        <v>-13</v>
      </c>
      <c r="F92">
        <v>-13</v>
      </c>
      <c r="G92">
        <v>-1</v>
      </c>
      <c r="H92">
        <v>0</v>
      </c>
    </row>
    <row r="93" spans="2:9" x14ac:dyDescent="0.3">
      <c r="B93" s="4" t="s">
        <v>153</v>
      </c>
      <c r="D93" s="4">
        <f>SUM(D91:D92)</f>
        <v>1147</v>
      </c>
      <c r="E93" s="4">
        <f>SUM(E91:E92)</f>
        <v>701</v>
      </c>
      <c r="F93" s="4">
        <f>SUM(F91:F92)</f>
        <v>812</v>
      </c>
      <c r="G93" s="4">
        <f>SUM(G91:G92)</f>
        <v>6070</v>
      </c>
      <c r="H93" s="4">
        <f>SUM(H91:H92)</f>
        <v>2583</v>
      </c>
      <c r="I9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Index</vt:lpstr>
      <vt:lpstr>Assumption</vt:lpstr>
      <vt:lpstr>Model</vt:lpstr>
      <vt:lpstr>Ratio</vt:lpstr>
      <vt:lpstr>WACC</vt:lpstr>
      <vt:lpstr>Beta</vt:lpstr>
      <vt:lpstr>Comparables Analysis</vt:lpstr>
      <vt:lpstr>Index Data</vt:lpstr>
      <vt:lpstr>Scenario</vt:lpstr>
      <vt:lpstr>BS</vt:lpstr>
      <vt:lpstr>P&amp;L</vt:lpstr>
      <vt:lpstr>Company Data</vt:lpstr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Nilapwar</dc:creator>
  <cp:lastModifiedBy>Om Nilapwar</cp:lastModifiedBy>
  <dcterms:created xsi:type="dcterms:W3CDTF">2026-09-19T06:17:40Z</dcterms:created>
  <dcterms:modified xsi:type="dcterms:W3CDTF">2026-10-16T18:04:05Z</dcterms:modified>
</cp:coreProperties>
</file>